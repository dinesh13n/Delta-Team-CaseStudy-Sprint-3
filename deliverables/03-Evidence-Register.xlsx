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Repo 1.0 vs 2.0" sheetId="3" state="visible" r:id="rId5"/>
    <sheet name="File Inventory" sheetId="4" state="visible" r:id="rId6"/>
    <sheet name="Evidence Register" sheetId="5" state="visible" r:id="rId7"/>
    <sheet name="Findings" sheetId="6" state="visible" r:id="rId8"/>
    <sheet name="Red Team" sheetId="7" state="visible" r:id="rId9"/>
    <sheet name="KPIs" sheetId="8" state="visible" r:id="rId10"/>
    <sheet name="Rubric Coverage" sheetId="9" state="visible" r:id="rId11"/>
    <sheet name="Go-No-Go" sheetId="10" state="visible" r:id="rId12"/>
    <sheet name="Decisions" sheetId="11" state="visible" r:id="rId13"/>
    <sheet name="Risks" sheetId="12" state="visible" r:id="rId14"/>
    <sheet name="Journey" sheetId="13" state="visible" r:id="rId15"/>
    <sheet name="Semantic Layer" sheetId="14" state="visible" r:id="rId16"/>
  </sheets>
  <definedNames>
    <definedName function="false" hidden="true" localSheetId="10" name="_xlnm._FilterDatabase" vbProcedure="false">Decisions!$A$3:$E$26</definedName>
    <definedName function="false" hidden="true" localSheetId="4" name="_xlnm._FilterDatabase" vbProcedure="false">'Evidence Register'!$A$3:$L$149</definedName>
    <definedName function="false" hidden="true" localSheetId="5" name="_xlnm._FilterDatabase" vbProcedure="false">Findings!$A$3:$H$65</definedName>
    <definedName function="false" hidden="true" localSheetId="9" name="_xlnm._FilterDatabase" vbProcedure="false">'Go-No-Go'!$A$3:$E$15</definedName>
    <definedName function="false" hidden="true" localSheetId="12" name="_xlnm._FilterDatabase" vbProcedure="false">Journey!$A$3:$E$24</definedName>
    <definedName function="false" hidden="true" localSheetId="7" name="_xlnm._FilterDatabase" vbProcedure="false">KPIs!$A$3:$F$13</definedName>
    <definedName function="false" hidden="true" localSheetId="6" name="_xlnm._FilterDatabase" vbProcedure="false">'Red Team'!$A$3:$G$15</definedName>
    <definedName function="false" hidden="true" localSheetId="2" name="_xlnm._FilterDatabase" vbProcedure="false">'Repo 1.0 vs 2.0'!$A$3:$F$23</definedName>
    <definedName function="false" hidden="true" localSheetId="11" name="_xlnm._FilterDatabase" vbProcedure="false">Risks!$A$3:$E$18</definedName>
    <definedName function="false" hidden="true" localSheetId="13" name="_xlnm._FilterDatabase" vbProcedure="false">'Semantic Layer'!$A$3:$D$23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<sst xmlns="http://schemas.openxmlformats.org/spreadsheetml/2006/main" count="3538" uniqueCount="1543">
  <si>
    <t xml:space="preserve">Evidence Register: Brownfield to Repo 2.0 (logistics shipment, fleet, routing ops)</t>
  </si>
  <si>
    <t xml:space="preserve">Delta-Team, AI-FDE Sprint 3. As of 2026-10-08. Built from the repository by deliverables/_build/build_workbook.py.</t>
  </si>
  <si>
    <t xml:space="preserve">How to use this workbook</t>
  </si>
  <si>
    <t xml:space="preserve">Start on Dashboard for the headline numbers. Every other sheet is the detail behind one tile.</t>
  </si>
  <si>
    <t xml:space="preserve">Each evidence row links to the file on GitHub (private repository; sign in to open). SHA-256 lets anyone check the file is unchanged.</t>
  </si>
  <si>
    <t xml:space="preserve">Filters are on every table. Green = done, amber = partial or changed, red = not met, blocked or deferred.</t>
  </si>
  <si>
    <t xml:space="preserve">Sheets</t>
  </si>
  <si>
    <t xml:space="preserve">Dashboard: headline numbers, all computed by formula from the sheets below.</t>
  </si>
  <si>
    <t xml:space="preserve">Repo 1.0 vs 2.0: capability by capability, what was delivered and what exists now, with findings and evidence.</t>
  </si>
  <si>
    <t xml:space="preserve">File Inventory: files and code lines per area, delivered commit 698e858 vs current main.</t>
  </si>
  <si>
    <t xml:space="preserve">Evidence Register: all 146 hash-registered evidence files, with stage, findings addressed, rubric criteria and link.</t>
  </si>
  <si>
    <t xml:space="preserve">Findings: the 62 baseline findings with severity, final disposition and rubric criteria.</t>
  </si>
  <si>
    <t xml:space="preserve">Red Team: the 12 attacks run against the delivered code and against Repo 2.0.</t>
  </si>
  <si>
    <t xml:space="preserve">KPIs: K1 to K10 before and after, with the honest reading.</t>
  </si>
  <si>
    <t xml:space="preserve">Rubric Coverage: per criterion summary and the 119 file-level matrix rows.</t>
  </si>
  <si>
    <t xml:space="preserve">Go-No-Go: the 12 readiness gates and their state today.</t>
  </si>
  <si>
    <t xml:space="preserve">Decisions: the 23 open questions and the operator's decision on each (Runbook 04).</t>
  </si>
  <si>
    <t xml:space="preserve">Risks: residual risks; none is accepted by a named person.</t>
  </si>
  <si>
    <t xml:space="preserve">Journey: the 20 stages (A to T) in six phases, with the commit that recorded them.</t>
  </si>
  <si>
    <t xml:space="preserve">Semantic Layer: every file in semantic-layer/ with its format and role.</t>
  </si>
  <si>
    <t xml:space="preserve">Evidence tags used in the source documents</t>
  </si>
  <si>
    <t xml:space="preserve">[VF] verified fact, read in a cited file   [INF] inference   [ASM] assumption   [UNK] unknown</t>
  </si>
  <si>
    <t xml:space="preserve">Limits stated up front</t>
  </si>
  <si>
    <t xml:space="preserve">No real AI model was called; all AI evidence uses the deterministic provider. Nothing is deployed. No business KPI moved; K1 to K8 are computed from a static synthetic fixture. One operator plus one agent built, tested and graded the work: no independent review.</t>
  </si>
  <si>
    <t xml:space="preserve">Dashboard: Repo 1.0 → Repo 2.0, in numbers</t>
  </si>
  <si>
    <t xml:space="preserve">Every value below is a formula over the detail sheets. As of 2026-10-08.</t>
  </si>
  <si>
    <t xml:space="preserve">Evidence</t>
  </si>
  <si>
    <t xml:space="preserve">Hash-registered evidence files</t>
  </si>
  <si>
    <t xml:space="preserve">Files touching R1</t>
  </si>
  <si>
    <t xml:space="preserve">Files touching R2</t>
  </si>
  <si>
    <t xml:space="preserve">Files touching R3</t>
  </si>
  <si>
    <t xml:space="preserve">Files touching R4</t>
  </si>
  <si>
    <t xml:space="preserve">Files touching R5</t>
  </si>
  <si>
    <t xml:space="preserve">Findings</t>
  </si>
  <si>
    <t xml:space="preserve">Baseline findings</t>
  </si>
  <si>
    <t xml:space="preserve">Severity S1</t>
  </si>
  <si>
    <t xml:space="preserve">FIXED</t>
  </si>
  <si>
    <t xml:space="preserve">FIXED-IN-TREE</t>
  </si>
  <si>
    <t xml:space="preserve">PARTIAL</t>
  </si>
  <si>
    <t xml:space="preserve">CHANGED</t>
  </si>
  <si>
    <t xml:space="preserve">DEFERRED</t>
  </si>
  <si>
    <t xml:space="preserve">ACCEPTED-PROPOSED</t>
  </si>
  <si>
    <t xml:space="preserve">Proof</t>
  </si>
  <si>
    <t xml:space="preserve">Attacks that succeed on Repo 1.0 (of 12)</t>
  </si>
  <si>
    <t xml:space="preserve">Attacks that succeed on Repo 2.0 (of 12)</t>
  </si>
  <si>
    <t xml:space="preserve">Readiness gates passed (of 12)</t>
  </si>
  <si>
    <t xml:space="preserve">Readiness gates failed</t>
  </si>
  <si>
    <t xml:space="preserve">Tracked files in the application folder, 1.0 → 2.0</t>
  </si>
  <si>
    <t xml:space="preserve">Governance</t>
  </si>
  <si>
    <t xml:space="preserve">Open questions decided or ratified</t>
  </si>
  <si>
    <t xml:space="preserve">Open questions deferred</t>
  </si>
  <si>
    <t xml:space="preserve">Rubric sub-dimensions</t>
  </si>
  <si>
    <t xml:space="preserve">Sub-dimensions MET</t>
  </si>
  <si>
    <t xml:space="preserve">Sub-dimensions NOT MET or BLOCKED</t>
  </si>
  <si>
    <t xml:space="preserve">Risk acceptances signed by a named person</t>
  </si>
  <si>
    <t xml:space="preserve">Input: 0 of 12 (docs/25-governance/risk-acceptance-register.md)</t>
  </si>
  <si>
    <t xml:space="preserve">Repo 1.0 (as delivered) vs Repo 2.0 (as built)</t>
  </si>
  <si>
    <t xml:space="preserve">Repo 1.0 = commit 698e858 (delivered bytes). Repo 2.0 = main today. Status is the agent's reading of the finding dispositions; see Findings.</t>
  </si>
  <si>
    <t xml:space="preserve">Area</t>
  </si>
  <si>
    <t xml:space="preserve">Repo 1.0 (as delivered)</t>
  </si>
  <si>
    <t xml:space="preserve">Repo 2.0 (as built)</t>
  </si>
  <si>
    <t xml:space="preserve">Status</t>
  </si>
  <si>
    <t xml:space="preserve">Version control and quick-start</t>
  </si>
  <si>
    <t xml:space="preserve">Not under version control; documented test command fails (exit 2, missing httpx); run command wrong</t>
  </si>
  <si>
    <t xml:space="preserve">Git with baseline tags; quick-start works; 181 passed, 1 skipped, 7 expected xfail</t>
  </si>
  <si>
    <t xml:space="preserve">Fixed</t>
  </si>
  <si>
    <t xml:space="preserve">F-01, F-02, F-03</t>
  </si>
  <si>
    <t xml:space="preserve">evidence/07-repo-assessment/EVD-C-02-quickstart-transcript.txt; evidence/15-modernization/EVD-H-02-quickstart-after.txt</t>
  </si>
  <si>
    <t xml:space="preserve">Tests and coverage</t>
  </si>
  <si>
    <t xml:space="preserve">3 tests (0 collected without httpx); coverage 45%</t>
  </si>
  <si>
    <t xml:space="preserve">181 tests plus 7 characterisation tests that pin old behaviour; 97% coverage (apps and etl)</t>
  </si>
  <si>
    <t xml:space="preserve">F-51</t>
  </si>
  <si>
    <t xml:space="preserve">evidence/34-after-kpis/EVD-O-01-after-kpis.json</t>
  </si>
  <si>
    <t xml:space="preserve">Dependencies and supply chain</t>
  </si>
  <si>
    <t xml:space="preserve">Versions pinned but no lockfile or hashes; no SBOM</t>
  </si>
  <si>
    <t xml:space="preserve">Hash-pinned lockfiles; SBOM (runtime 21, dev 58 components); 0 known vulnerabilities</t>
  </si>
  <si>
    <t xml:space="preserve">F-04, F-49</t>
  </si>
  <si>
    <t xml:space="preserve">evidence/27-hardening/EVD-M-01-pip-audit-runtime.json</t>
  </si>
  <si>
    <t xml:space="preserve">Identity</t>
  </si>
  <si>
    <t xml:space="preserve">Role read from a client-supplied X-User-Role header</t>
  </si>
  <si>
    <t xml:space="preserve">Signed bearer token (HS256, alg none rejected); JWKS verifier is a fail-closed stub; no identity provider</t>
  </si>
  <si>
    <t xml:space="preserve">Fixed (interim scheme)</t>
  </si>
  <si>
    <t xml:space="preserve">F-17</t>
  </si>
  <si>
    <t xml:space="preserve">evidence/26-tevv/EVD-L-03-redteam-v2.json (RT-02, RT-11)</t>
  </si>
  <si>
    <t xml:space="preserve">Authorisation</t>
  </si>
  <si>
    <t xml:space="preserve">Flat five-role allow-list including a persona from another domain; Rego file used by no code</t>
  </si>
  <si>
    <t xml:space="preserve">Deny-by-default policy engine driven by access-semantics.yaml (persona x entity x purpose, field mask or drop); Rego generated from it and tested in CI; scope narrowing declared but not enforced</t>
  </si>
  <si>
    <t xml:space="preserve">Fixed (scope partial)</t>
  </si>
  <si>
    <t xml:space="preserve">F-18, F-19, F-21</t>
  </si>
  <si>
    <t xml:space="preserve">evidence/26-tevv/EVD-L-03-redteam-v2.json (RT-03)</t>
  </si>
  <si>
    <t xml:space="preserve">Record lookup</t>
  </si>
  <si>
    <t xml:space="preserve">Scans every column; a miss returns the wrong record; REC-0001 key collides across entities</t>
  </si>
  <si>
    <t xml:space="preserve">Identifier must match the entity key pattern (422); a miss is 404 and audited; colliding rows quarantined</t>
  </si>
  <si>
    <t xml:space="preserve">F-30, F-31, F-32</t>
  </si>
  <si>
    <t xml:space="preserve">evidence/26-tevv/EVD-L-03-redteam-v2.json (RT-04 to RT-06)</t>
  </si>
  <si>
    <t xml:space="preserve">AI endpoint</t>
  </si>
  <si>
    <t xml:space="preserve">No authorisation; guardrail_status not_enforced; no output schema; str.format on untrusted text; output echoes the first column</t>
  </si>
  <si>
    <t xml:space="preserve">Authorised and rate-limited; allow-listed, sanitised context; schema and leak checks; fallback then abstain; suggest-only. Deterministic provider only</t>
  </si>
  <si>
    <t xml:space="preserve">Fixed (no real model)</t>
  </si>
  <si>
    <t xml:space="preserve">F-20, F-22, F-23, F-24, F-25, F-29</t>
  </si>
  <si>
    <t xml:space="preserve">evidence/26-tevv/EVD-L-02-final-eval-run.json; EVD-L-03 RT-01, RT-07 to RT-09, RT-12</t>
  </si>
  <si>
    <t xml:space="preserve">Human approval</t>
  </si>
  <si>
    <t xml:space="preserve">None</t>
  </si>
  <si>
    <t xml:space="preserve">Every suggestion registered; approve or reject once (409 on repeat); requester may approve their own (RA-04)</t>
  </si>
  <si>
    <t xml:space="preserve">Fixed (no four-eyes)</t>
  </si>
  <si>
    <t xml:space="preserve">F-26</t>
  </si>
  <si>
    <t xml:space="preserve">evidence/26-tevv/EVD-L-03-redteam-v2.json (RT-10)</t>
  </si>
  <si>
    <t xml:space="preserve">Model provenance and tokens</t>
  </si>
  <si>
    <t xml:space="preserve">Model id is a constant; token count fabricated</t>
  </si>
  <si>
    <t xml:space="preserve">Model, version, prompt version and config hash on every answer; token count labelled as an estimate</t>
  </si>
  <si>
    <t xml:space="preserve">Partial</t>
  </si>
  <si>
    <t xml:space="preserve">F-27, F-28</t>
  </si>
  <si>
    <t xml:space="preserve">docs/final-prd/final-ai-agent-baseline.md</t>
  </si>
  <si>
    <t xml:space="preserve">Audit</t>
  </si>
  <si>
    <t xml:space="preserve">Records time, action, details only; naive timestamps; local file</t>
  </si>
  <si>
    <t xml:space="preserve">Hash-chained events with actor, correlation id, tenant, resource and policy decision; verify endpoint; tampering detected; still a local file sink</t>
  </si>
  <si>
    <t xml:space="preserve">F-43, F-44, F-45</t>
  </si>
  <si>
    <t xml:space="preserve">evidence/31-observability/EVD-N-02-reconstruction.json</t>
  </si>
  <si>
    <t xml:space="preserve">Data quality</t>
  </si>
  <si>
    <t xml:space="preserve">Duplicates, blank rows, impossible timestamps, polluted categories; ETL counts defects and discards them</t>
  </si>
  <si>
    <t xml:space="preserve">ETL validates with the API's rules; bad rows quarantined with a run id; curated layer; raw fixture left byte-identical</t>
  </si>
  <si>
    <t xml:space="preserve">F-33 to F-41, F-58, F-61, F-62</t>
  </si>
  <si>
    <t xml:space="preserve">evidence/11-data-context/EVD-D-02-enum-violations.csv</t>
  </si>
  <si>
    <t xml:space="preserve">Semantic layer</t>
  </si>
  <si>
    <t xml:space="preserve">v2.0: 8 YAML definition files, JSON Schema, API contract, generated JSON, 23 layer tests and 5 conformance tests</t>
  </si>
  <si>
    <t xml:space="preserve">F-37</t>
  </si>
  <si>
    <t xml:space="preserve">evidence/11-data-context/EVD-D-06-semantic-layer-v2-hashes.json</t>
  </si>
  <si>
    <t xml:space="preserve">Observability</t>
  </si>
  <si>
    <t xml:space="preserve">Notes only; a third of events cannot be correlated</t>
  </si>
  <si>
    <t xml:space="preserve">Correlation id on every request; /metrics; KPI endpoint; no tracing, no collector, no alert recipients</t>
  </si>
  <si>
    <t xml:space="preserve">F-42, F-46</t>
  </si>
  <si>
    <t xml:space="preserve">docs/31-observability</t>
  </si>
  <si>
    <t xml:space="preserve">CI and change control</t>
  </si>
  <si>
    <t xml:space="preserve">CI runs pytest only and had never run; no CONTRIBUTING, PR template or CODEOWNERS</t>
  </si>
  <si>
    <t xml:space="preserve">CI green on Python 3.11 and 3.14 (lint, types, coverage, secret scan, policy tests); PR template and CODEOWNERS; branch protection not enabled (GitHub reports it needs Pro for a private repository)</t>
  </si>
  <si>
    <t xml:space="preserve">F-08, F-14, F-47</t>
  </si>
  <si>
    <t xml:space="preserve">evidence/15-modernization/EVD-R-02-ci-run-2-green.txt</t>
  </si>
  <si>
    <t xml:space="preserve">Secrets</t>
  </si>
  <si>
    <t xml:space="preserve">Password in source; credential-shaped values in .env.example</t>
  </si>
  <si>
    <t xml:space="preserve">Removed from the tree; secret scan in CI; history kept; repository private; values treated as compromised (OQ-19)</t>
  </si>
  <si>
    <t xml:space="preserve">Fixed in tree</t>
  </si>
  <si>
    <t xml:space="preserve">F-09, F-10, F-11, F-12, F-13</t>
  </si>
  <si>
    <t xml:space="preserve">evidence/15-modernization/EVD-H-03-secret-scan-history.json</t>
  </si>
  <si>
    <t xml:space="preserve">Infrastructure</t>
  </si>
  <si>
    <t xml:space="preserve">Terraform with one local_file resource that emits a credential</t>
  </si>
  <si>
    <t xml:space="preserve">Container recipe (Dockerfile, compose); Terraform provisions nothing; image never built; platform-neutral by decision (OQ-01)</t>
  </si>
  <si>
    <t xml:space="preserve">Deferred</t>
  </si>
  <si>
    <t xml:space="preserve">F-07, F-15, F-48</t>
  </si>
  <si>
    <t xml:space="preserve">docs/10-architecture/deployment-architecture.md</t>
  </si>
  <si>
    <t xml:space="preserve">Resilience</t>
  </si>
  <si>
    <t xml:space="preserve">No timeouts, retries or drills; incident runbook declares itself incomplete</t>
  </si>
  <si>
    <t xml:space="preserve">Timeout, retry, circuit breaker; 5 failure drills pass; backup restore shown on the fixture</t>
  </si>
  <si>
    <t xml:space="preserve">Fixed (repository level)</t>
  </si>
  <si>
    <t xml:space="preserve">F-56</t>
  </si>
  <si>
    <t xml:space="preserve">evidence/28-resilience/EVD-M-03-drills/summary.json</t>
  </si>
  <si>
    <t xml:space="preserve">Front end</t>
  </si>
  <si>
    <t xml:space="preserve">Portal claimed in docs; scaffold with a no-op lint</t>
  </si>
  <si>
    <t xml:space="preserve">Thin read-only operations view (OQ-06); browser test rewritten for it</t>
  </si>
  <si>
    <t xml:space="preserve">Changed</t>
  </si>
  <si>
    <t xml:space="preserve">F-05, F-06, F-52</t>
  </si>
  <si>
    <t xml:space="preserve">docs/20-application</t>
  </si>
  <si>
    <t xml:space="preserve">Business value</t>
  </si>
  <si>
    <t xml:space="preserve">No KPI data</t>
  </si>
  <si>
    <t xml:space="preserve">Proxy KPIs frozen and re-measured; unchanged by design; no monetary benefit verified</t>
  </si>
  <si>
    <t xml:space="preserve">F-57</t>
  </si>
  <si>
    <t xml:space="preserve">Encryption</t>
  </si>
  <si>
    <t xml:space="preserve">No TLS, at-rest or key management statement</t>
  </si>
  <si>
    <t xml:space="preserve">Unchanged; deferred until a platform exists</t>
  </si>
  <si>
    <t xml:space="preserve">F-16</t>
  </si>
  <si>
    <t xml:space="preserve">docs/42-executive/residual-risks.md</t>
  </si>
  <si>
    <t xml:space="preserve">Files and code lines per area: Repo 1.0 vs Repo 2.0</t>
  </si>
  <si>
    <t xml:space="preserve">Tracked files under 07-logistics-shipment-fleet-routing-ops/. Code lines = .py .ts .rego .js .tf .sh. Counted with git at build time.</t>
  </si>
  <si>
    <t xml:space="preserve">Files 1.0</t>
  </si>
  <si>
    <t xml:space="preserve">Files 2.0</t>
  </si>
  <si>
    <t xml:space="preserve">Files change</t>
  </si>
  <si>
    <t xml:space="preserve">Code lines 1.0</t>
  </si>
  <si>
    <t xml:space="preserve">Code lines 2.0</t>
  </si>
  <si>
    <t xml:space="preserve">Lines change</t>
  </si>
  <si>
    <t xml:space="preserve">apps/api</t>
  </si>
  <si>
    <t xml:space="preserve">tests</t>
  </si>
  <si>
    <t xml:space="preserve">other (root files)</t>
  </si>
  <si>
    <t xml:space="preserve">scripts</t>
  </si>
  <si>
    <t xml:space="preserve">data</t>
  </si>
  <si>
    <t xml:space="preserve">evaluation</t>
  </si>
  <si>
    <t xml:space="preserve">docs</t>
  </si>
  <si>
    <t xml:space="preserve">apps/web</t>
  </si>
  <si>
    <t xml:space="preserve">observability</t>
  </si>
  <si>
    <t xml:space="preserve">.github</t>
  </si>
  <si>
    <t xml:space="preserve">etl</t>
  </si>
  <si>
    <t xml:space="preserve">policy</t>
  </si>
  <si>
    <t xml:space="preserve">legacy</t>
  </si>
  <si>
    <t xml:space="preserve">infra</t>
  </si>
  <si>
    <t xml:space="preserve">Total</t>
  </si>
  <si>
    <t xml:space="preserve">Evidence register: 146 hash-registered files</t>
  </si>
  <si>
    <t xml:space="preserve">Source: evidence/EVIDENCE-INDEX.csv (derived from the per-folder MANIFEST.md files). Verified: every SHA-256 matches the file (EVD-R-03 verifier).</t>
  </si>
  <si>
    <t xml:space="preserve">Evidence ID</t>
  </si>
  <si>
    <t xml:space="preserve">Stage</t>
  </si>
  <si>
    <t xml:space="preserve">Stage name</t>
  </si>
  <si>
    <t xml:space="preserve">Phase</t>
  </si>
  <si>
    <t xml:space="preserve">Folder</t>
  </si>
  <si>
    <t xml:space="preserve">Type</t>
  </si>
  <si>
    <t xml:space="preserve">Produced (UTC)</t>
  </si>
  <si>
    <t xml:space="preserve">Findings addressed</t>
  </si>
  <si>
    <t xml:space="preserve">Rubric criteria</t>
  </si>
  <si>
    <t xml:space="preserve">Cited by</t>
  </si>
  <si>
    <t xml:space="preserve">SHA-256</t>
  </si>
  <si>
    <t xml:space="preserve">Link</t>
  </si>
  <si>
    <t xml:space="preserve">EVD-A-01-baseline-file-manifest</t>
  </si>
  <si>
    <t xml:space="preserve">A</t>
  </si>
  <si>
    <t xml:space="preserve">Engagement mobilisation and read-only orientation</t>
  </si>
  <si>
    <t xml:space="preserve">1 Understand</t>
  </si>
  <si>
    <t xml:space="preserve">00-preflight</t>
  </si>
  <si>
    <t xml:space="preserve">sha256</t>
  </si>
  <si>
    <t xml:space="preserve">2026-10-08T08:42:57Z</t>
  </si>
  <si>
    <t xml:space="preserve">F-01</t>
  </si>
  <si>
    <t xml:space="preserve">R1</t>
  </si>
  <si>
    <t xml:space="preserve">docs/00-preflight/operating-contract/decision-log.md</t>
  </si>
  <si>
    <t xml:space="preserve">8eb89d1ff2dd835d78f823662e6dca0713b94034f71263504653d0cabba3fac2</t>
  </si>
  <si>
    <t xml:space="preserve">open</t>
  </si>
  <si>
    <t xml:space="preserve">EVD-A-01-delivered-vs-committed</t>
  </si>
  <si>
    <t xml:space="preserve">csv</t>
  </si>
  <si>
    <t xml:space="preserve">dd2382a160a0c7586ca6ed393b90ec26b4113f6bb28e106fa2c1bcdeeb6ca30c</t>
  </si>
  <si>
    <t xml:space="preserve">EVD-A-01-tag-verification</t>
  </si>
  <si>
    <t xml:space="preserve">txt</t>
  </si>
  <si>
    <t xml:space="preserve">a507d3d45cee3dd0598ca179c229ae213ef15c999ada6eb1353c4eea4be4b70b</t>
  </si>
  <si>
    <t xml:space="preserve">EVD-A-02-spine-tree</t>
  </si>
  <si>
    <t xml:space="preserve">38db5b75d91b98521a40d52a5b623280bb9d038890ab23574a0ece327e2b0406</t>
  </si>
  <si>
    <t xml:space="preserve">EVD-A-03-toolchain-snapshot</t>
  </si>
  <si>
    <t xml:space="preserve">2026-10-08T09:00:00Z</t>
  </si>
  <si>
    <t xml:space="preserve">docs/00-preflight/discovery/environment-snapshot.md</t>
  </si>
  <si>
    <t xml:space="preserve">b9bc4bf6585621edcdd934895f923a0e2d4a643e0c5fed30c418715993b3231f</t>
  </si>
  <si>
    <t xml:space="preserve">EVD-A-03c-runtime-upgrade-compat</t>
  </si>
  <si>
    <t xml:space="preserve">2026-10-08T09:10:00Z</t>
  </si>
  <si>
    <t xml:space="preserve">4c48b3c48ba51da41bc0c7ef2a42b75002ab8738bffa9cedda85b2271aa6901a</t>
  </si>
  <si>
    <t xml:space="preserve">EVD-A-03b-windows-host-snapshot</t>
  </si>
  <si>
    <t xml:space="preserve">7e61ec7eb27d9126ac1ab9fa137a8eb0c009e5609ab3c56b8ab9d1340a82f345</t>
  </si>
  <si>
    <t xml:space="preserve">EVD-A-03d-windows-host-snapshot-2</t>
  </si>
  <si>
    <t xml:space="preserve">2026-10-08T09:15:00Z</t>
  </si>
  <si>
    <t xml:space="preserve">7569293ca130291d004dbb8cbfef68dd2dcb83cfcdad29c85b1197ad5ca135f6</t>
  </si>
  <si>
    <t xml:space="preserve">EVD-A-03e-operator-statement</t>
  </si>
  <si>
    <t xml:space="preserve">2026-10-08T09:20:00Z</t>
  </si>
  <si>
    <t xml:space="preserve">328cdba5fb736a07f1af70c99fd01588b56e8b0ca4d5d8500c859f5c90ae0d18</t>
  </si>
  <si>
    <t xml:space="preserve">EVD-A-04-repo-tree-annotated</t>
  </si>
  <si>
    <t xml:space="preserve">2026-10-08T09:40:00Z</t>
  </si>
  <si>
    <t xml:space="preserve">docs/00-preflight/discovery/</t>
  </si>
  <si>
    <t xml:space="preserve">6dd1c997087a9a453650d2228a2a9a01aa075d9ba810905e3e0f83705c457347</t>
  </si>
  <si>
    <t xml:space="preserve">EVD-A-04b-data-profile</t>
  </si>
  <si>
    <t xml:space="preserve">b81c7055f0bad40deeb41ff0b76a0cb6b037420a5a4a575e5152d7c12e14d37e</t>
  </si>
  <si>
    <t xml:space="preserve">EVD-A-05-confirmation-items</t>
  </si>
  <si>
    <t xml:space="preserve">2026-10-08T10:10:00Z</t>
  </si>
  <si>
    <t xml:space="preserve">docs/00-preflight/operating-contract/operating-contract-readiness.md</t>
  </si>
  <si>
    <t xml:space="preserve">8c5b0b96519512cf2c80b94b9b92f167671669fcb6629cb32f8fe3ac6f6ec16c</t>
  </si>
  <si>
    <t xml:space="preserve">EVD-A-06-ai-economics-profile</t>
  </si>
  <si>
    <t xml:space="preserve">json</t>
  </si>
  <si>
    <t xml:space="preserve">2026-10-08T10:30:00Z</t>
  </si>
  <si>
    <t xml:space="preserve">docs/00-preflight/ai-economics/</t>
  </si>
  <si>
    <t xml:space="preserve">d38d6c61ea774cf11348a9a7c5a497c5eb77c04e78dfed773252fe9ca8d664d5</t>
  </si>
  <si>
    <t xml:space="preserve">EVD-A-07-stage-a-exit-checks</t>
  </si>
  <si>
    <t xml:space="preserve">2026-10-08T09:42:06Z</t>
  </si>
  <si>
    <t xml:space="preserve">docs/00-preflight/stage-a-gate.md</t>
  </si>
  <si>
    <t xml:space="preserve">f71de9f9325e9e14cd2def90df779de5e577db84683bf803e9720bf246fbf194</t>
  </si>
  <si>
    <t xml:space="preserve">EVD-A-04c-correlation-recount</t>
  </si>
  <si>
    <t xml:space="preserve">2026-10-08T10:18:49Z</t>
  </si>
  <si>
    <t xml:space="preserve">decision-log D-012</t>
  </si>
  <si>
    <t xml:space="preserve">c2600111796cca839e726d805f30ac37f26904872fdff92ceaebd1663716707c</t>
  </si>
  <si>
    <t xml:space="preserve">EVD-B-01-stage-b-checks</t>
  </si>
  <si>
    <t xml:space="preserve">B</t>
  </si>
  <si>
    <t xml:space="preserve">Qualification, stakeholders and problem framing</t>
  </si>
  <si>
    <t xml:space="preserve">01-engagement</t>
  </si>
  <si>
    <t xml:space="preserve">2026-10-08T09:43:22Z</t>
  </si>
  <si>
    <t xml:space="preserve">docs/03-problem-value/stage-b-gate.md</t>
  </si>
  <si>
    <t xml:space="preserve">05f19134a27092776e4755f4e359dcb27afa0c23ab67821f2c9cf5ab6a638ee3</t>
  </si>
  <si>
    <t xml:space="preserve">EVD-C-05-data-profile</t>
  </si>
  <si>
    <t xml:space="preserve">C</t>
  </si>
  <si>
    <t xml:space="preserve">Baseline: KPIs, current state, root cause, behaviour</t>
  </si>
  <si>
    <t xml:space="preserve">04-baseline-kpis</t>
  </si>
  <si>
    <t xml:space="preserve">2026-10-08T09:45:53Z</t>
  </si>
  <si>
    <t xml:space="preserve">docs/04-baseline-kpis/</t>
  </si>
  <si>
    <t xml:space="preserve">6314f00faa1df6c781714c3be2e946cae1b323858f1b435868989a8f4dced202</t>
  </si>
  <si>
    <t xml:space="preserve">EVD-C-05-profile</t>
  </si>
  <si>
    <t xml:space="preserve">py</t>
  </si>
  <si>
    <t xml:space="preserve">2026-10-08T09:45:54Z</t>
  </si>
  <si>
    <t xml:space="preserve">7c6f7f2b4fd3b69f6dc6b980a65d2f530219d69e9e53a2657e9d70ff34f0247a</t>
  </si>
  <si>
    <t xml:space="preserve">EVD-C-04-flow-to-code-trace</t>
  </si>
  <si>
    <t xml:space="preserve">05-current-state</t>
  </si>
  <si>
    <t xml:space="preserve">md</t>
  </si>
  <si>
    <t xml:space="preserve">2026-10-08T09:47:28Z</t>
  </si>
  <si>
    <t xml:space="preserve">docs/05-current-state/business-workflow-map.md</t>
  </si>
  <si>
    <t xml:space="preserve">4ddd2316209f21774efc175f323585b52c0363bda79b040be3515c3fbd7559f1</t>
  </si>
  <si>
    <t xml:space="preserve">EVD-C-02-quickstart-transcript</t>
  </si>
  <si>
    <t xml:space="preserve">07-repo-assessment</t>
  </si>
  <si>
    <t xml:space="preserve">F-02</t>
  </si>
  <si>
    <t xml:space="preserve">docs/07-repo-assessment/baseline-behaviour.md</t>
  </si>
  <si>
    <t xml:space="preserve">74e85bd8cec2ade87fc4ccf8a95b40552928010bfd689e761b21868fdf541581</t>
  </si>
  <si>
    <t xml:space="preserve">EVD-C-03-transcript</t>
  </si>
  <si>
    <t xml:space="preserve">e00e2c43b291f1a06e7144f029873e2b4422672353800328fc2534d30060b743</t>
  </si>
  <si>
    <t xml:space="preserve">EVD-C-03-junit</t>
  </si>
  <si>
    <t xml:space="preserve">xml</t>
  </si>
  <si>
    <t xml:space="preserve">1d96dc44eb81588a1155ba4566d8d87ab7ef22d62ba21b803f7835d3926ca8da</t>
  </si>
  <si>
    <t xml:space="preserve">EVD-C-03-coverage</t>
  </si>
  <si>
    <t xml:space="preserve">85210479df1b835c07459cca3a26494695ede817d7399bc85133811e92b607e8</t>
  </si>
  <si>
    <t xml:space="preserve">EVD-C-07-findings-index</t>
  </si>
  <si>
    <t xml:space="preserve">docs/07-repo-assessment/technical-debt-register.md</t>
  </si>
  <si>
    <t xml:space="preserve">6c387bfd6ea34ba4aca6464d7bcea97e164f439d89acc063516ecec85e016a98</t>
  </si>
  <si>
    <t xml:space="preserve">EVD-C-08-characterization-junit</t>
  </si>
  <si>
    <t xml:space="preserve">2026-10-08T09:48:24Z</t>
  </si>
  <si>
    <t xml:space="preserve">F-19;F-20;F-24;F-32;F-51</t>
  </si>
  <si>
    <t xml:space="preserve">docs/07-repo-assessment/stage-c-gate.md</t>
  </si>
  <si>
    <t xml:space="preserve">b35040581e79ee0e1b912f8399b855e60ef591ad76c24faa27eb7c0169ffd90e</t>
  </si>
  <si>
    <t xml:space="preserve">EVD-C-09-stage-c-exit-checks</t>
  </si>
  <si>
    <t xml:space="preserve">61b3292ae9002e9da7fbdc5d30c3074b8c983a2ac01c20c0fd1fdfadd44b9828</t>
  </si>
  <si>
    <t xml:space="preserve">EVD-E-04-stage-e-checks</t>
  </si>
  <si>
    <t xml:space="preserve">E</t>
  </si>
  <si>
    <t xml:space="preserve">Intervention qualification and initial PRD</t>
  </si>
  <si>
    <t xml:space="preserve">2 Define</t>
  </si>
  <si>
    <t xml:space="preserve">08-ai-qualification</t>
  </si>
  <si>
    <t xml:space="preserve">2026-10-08T09:55:03Z</t>
  </si>
  <si>
    <t xml:space="preserve">R4</t>
  </si>
  <si>
    <t xml:space="preserve">docs/09-initial-prd/stage-e-gate.md</t>
  </si>
  <si>
    <t xml:space="preserve">56b7058b10ff961bc3091af9007b241a45b7f3ccc649790a6345f1f640e069c6</t>
  </si>
  <si>
    <t xml:space="preserve">EVD-E-03-requirement-trace</t>
  </si>
  <si>
    <t xml:space="preserve">09-initial-prd</t>
  </si>
  <si>
    <t xml:space="preserve">docs/09-initial-prd/initial-prd-traceability.md</t>
  </si>
  <si>
    <t xml:space="preserve">079f95fb2f36f6dc60697bafebf6720ebb4696699722d19f7335786cb4a00453</t>
  </si>
  <si>
    <t xml:space="preserve">EVD-F-01-adr-index</t>
  </si>
  <si>
    <t xml:space="preserve">F</t>
  </si>
  <si>
    <t xml:space="preserve">Target architecture, data and context, specs, traceability</t>
  </si>
  <si>
    <t xml:space="preserve">10-architecture</t>
  </si>
  <si>
    <t xml:space="preserve">2026-10-08T10:03:32Z</t>
  </si>
  <si>
    <t xml:space="preserve">F-53</t>
  </si>
  <si>
    <t xml:space="preserve">stage-f-gate.md (F-X1)</t>
  </si>
  <si>
    <t xml:space="preserve">4cae717c359d65180ef203aeda719971c6f37e405a160e033495cc8bcf5d450d</t>
  </si>
  <si>
    <t xml:space="preserve">EVD-D-01-field-coverage</t>
  </si>
  <si>
    <t xml:space="preserve">D</t>
  </si>
  <si>
    <t xml:space="preserve">Semantic layer extraction</t>
  </si>
  <si>
    <t xml:space="preserve">11-data-context</t>
  </si>
  <si>
    <t xml:space="preserve">2026-10-08T09:53:26Z</t>
  </si>
  <si>
    <t xml:space="preserve">R2</t>
  </si>
  <si>
    <t xml:space="preserve">docs/11-data-context/stage-d-gate.md</t>
  </si>
  <si>
    <t xml:space="preserve">298054a6d5c07cc41202e4816df2e3f90438d03b9e8044747e3c06828fce293c</t>
  </si>
  <si>
    <t xml:space="preserve">EVD-D-02-enum-violations</t>
  </si>
  <si>
    <t xml:space="preserve">358e7392b8fad0b672ac5a4ee4b0e352b863e544f23a1ba9a637aac1c51f2ea7</t>
  </si>
  <si>
    <t xml:space="preserve">EVD-D-03-rule-to-gap-trace</t>
  </si>
  <si>
    <t xml:space="preserve">5388fb6ad5f0454598a0488454a4012d3de54936d2defb84bbce6134f3c5a582</t>
  </si>
  <si>
    <t xml:space="preserve">EVD-D-04-access-semantics-matrix</t>
  </si>
  <si>
    <t xml:space="preserve">f95609856b8284299d323c48befa7e688f60c55d31c5ef508581d05121b005c8</t>
  </si>
  <si>
    <t xml:space="preserve">EVD-D-05-rule-baseline</t>
  </si>
  <si>
    <t xml:space="preserve">d44af9df668fa79e00af0ee2da9c0cdad84ff6e6bf9ac1c8b225d9d085132d55</t>
  </si>
  <si>
    <t xml:space="preserve">EVD-D-05-semantic-layer-junit</t>
  </si>
  <si>
    <t xml:space="preserve">cb1fc7cbbef53af7b1e21ab6a657e65dcc0b84dcfe178ca91dad5ebb127dae45</t>
  </si>
  <si>
    <t xml:space="preserve">EVD-D-05-generated-semantic-layer</t>
  </si>
  <si>
    <t xml:space="preserve">edf62772dc55687db93dd20f3e520331db0e5f247d936c0ced401cee79083bf2</t>
  </si>
  <si>
    <t xml:space="preserve">EVD-D-06-semantic-v2-junit</t>
  </si>
  <si>
    <t xml:space="preserve">2026-10-08T16:53:46Z</t>
  </si>
  <si>
    <t xml:space="preserve">docs/11-data-context/semantic-layer-v2-alignment.md</t>
  </si>
  <si>
    <t xml:space="preserve">fc7501deca0483cf68eb7977ae3c6595f49e187be7338b691fcd27e051c55fd7</t>
  </si>
  <si>
    <t xml:space="preserve">EVD-D-06-semantic-layer-v2-hashes</t>
  </si>
  <si>
    <t xml:space="preserve">cffd158ffa517b9874ceb7b1e4ee15fc535273b9d437ad04a95bede40eb19fdf</t>
  </si>
  <si>
    <t xml:space="preserve">EVD-F-03-openapi</t>
  </si>
  <si>
    <t xml:space="preserve">12-specs</t>
  </si>
  <si>
    <t xml:space="preserve">yaml</t>
  </si>
  <si>
    <t xml:space="preserve">2026-10-08T10:02:44Z</t>
  </si>
  <si>
    <t xml:space="preserve">F-25;F-43;F-50</t>
  </si>
  <si>
    <t xml:space="preserve">docs/12-specs/spec-readiness.md; stage-f-gate.md</t>
  </si>
  <si>
    <t xml:space="preserve">6016a47d34dccadb44c6f7237cd3077f44edce88f5029801d5d1249272215c87</t>
  </si>
  <si>
    <t xml:space="preserve">EVD-F-03-openapi-validation</t>
  </si>
  <si>
    <t xml:space="preserve">0633960f82600f6fbf80d68cd7b6e60e9f2d87242ec53df855af06b55a35cd1a</t>
  </si>
  <si>
    <t xml:space="preserve">EVD-F-03-schema-checks</t>
  </si>
  <si>
    <t xml:space="preserve">8690d9106e92bc96d0d4c207a2bc2f377185076fab46e868a6e37d0ad708b26d</t>
  </si>
  <si>
    <t xml:space="preserve">EVD-F-03-route-coverage-diff</t>
  </si>
  <si>
    <t xml:space="preserve">9dbd1b3c0b3b193b3bb934a5ed36415c2b524817950f82f7f385bb18822a41f3</t>
  </si>
  <si>
    <t xml:space="preserve">EVD-F-04-finding-coverage-matrix</t>
  </si>
  <si>
    <t xml:space="preserve">13-traceability</t>
  </si>
  <si>
    <t xml:space="preserve">R4;R5</t>
  </si>
  <si>
    <t xml:space="preserve">stage-f-gate.md (F-X8)</t>
  </si>
  <si>
    <t xml:space="preserve">055a52f15d9daafa8d76bc642da760ea3a404790ac7d0fcefbb9f76ba1016821</t>
  </si>
  <si>
    <t xml:space="preserve">EVD-F-05-stage-f-exit-checks</t>
  </si>
  <si>
    <t xml:space="preserve">2026-10-08T10:03:33Z</t>
  </si>
  <si>
    <t xml:space="preserve">stage-f-gate.md</t>
  </si>
  <si>
    <t xml:space="preserve">1df22f4e7472cff0bdb6e7bf8948a79ac0ffb468ca210b1d70278c32fa003f4e</t>
  </si>
  <si>
    <t xml:space="preserve">EVD-F-04b-finding-disposition-final</t>
  </si>
  <si>
    <t xml:space="preserve">2026-10-08T12:27:21Z</t>
  </si>
  <si>
    <t xml:space="preserve">R5</t>
  </si>
  <si>
    <t xml:space="preserve">final-gate.md; requirement-disposition-matrix.md</t>
  </si>
  <si>
    <t xml:space="preserve">24dc4df12754670d842a7f1d8fb2d8dfa03eb8214dd35758a7e26577a6e774d1</t>
  </si>
  <si>
    <t xml:space="preserve">EVD-G-01-backlog-finding-coverage</t>
  </si>
  <si>
    <t xml:space="preserve">G</t>
  </si>
  <si>
    <t xml:space="preserve">Transformation and migration planning</t>
  </si>
  <si>
    <t xml:space="preserve">14-transformation</t>
  </si>
  <si>
    <t xml:space="preserve">2026-10-08T10:04:56Z</t>
  </si>
  <si>
    <t xml:space="preserve">R3</t>
  </si>
  <si>
    <t xml:space="preserve">stage-g-gate.md</t>
  </si>
  <si>
    <t xml:space="preserve">f64b2b4c088a555f2f8092bff98371c1073f4215504b19a776bae50aeadcbc95</t>
  </si>
  <si>
    <t xml:space="preserve">EVD-G-04-authorisation-record</t>
  </si>
  <si>
    <t xml:space="preserve">F-08</t>
  </si>
  <si>
    <t xml:space="preserve">88f1b4321b2f75114ce9c1a23866a289757ac3f81358180c55b323d15d2e4679</t>
  </si>
  <si>
    <t xml:space="preserve">EVD-G-05-stage-g-exit-checks</t>
  </si>
  <si>
    <t xml:space="preserve">2026-10-08T10:05:18Z</t>
  </si>
  <si>
    <t xml:space="preserve">2821273226c7a28d49e897479703bdf974cf8c160f04beb8dc6055d8c55397ad</t>
  </si>
  <si>
    <t xml:space="preserve">EVD-H-01-pipeline-run</t>
  </si>
  <si>
    <t xml:space="preserve">H</t>
  </si>
  <si>
    <t xml:space="preserve">Repo 2.0 modernisation and validation</t>
  </si>
  <si>
    <t xml:space="preserve">3 Build</t>
  </si>
  <si>
    <t xml:space="preserve">15-modernization</t>
  </si>
  <si>
    <t xml:space="preserve">2026-10-08T12:12:48Z</t>
  </si>
  <si>
    <t xml:space="preserve">docs of step H1</t>
  </si>
  <si>
    <t xml:space="preserve">943f500b2da991e6bfcf1bba9740cfe8839bde806197ba9ac03d98cad007bd2b</t>
  </si>
  <si>
    <t xml:space="preserve">EVD-H-02-quickstart-after</t>
  </si>
  <si>
    <t xml:space="preserve">F-02;F-03;F-04</t>
  </si>
  <si>
    <t xml:space="preserve">docs of step H2</t>
  </si>
  <si>
    <t xml:space="preserve">253337ce0f1b3e20361e42b612628b9447c629ce33633ea48bd88696d8310c70</t>
  </si>
  <si>
    <t xml:space="preserve">EVD-H-03-secret-scan-history</t>
  </si>
  <si>
    <t xml:space="preserve">F-09;F-10;F-11;F-12;F-14</t>
  </si>
  <si>
    <t xml:space="preserve">docs of step H3</t>
  </si>
  <si>
    <t xml:space="preserve">473b47bb982b7ab65985c869a7f35068253b7c3719d610e9ad90ed8f85849a4c</t>
  </si>
  <si>
    <t xml:space="preserve">EVD-H-03-secret-scan</t>
  </si>
  <si>
    <t xml:space="preserve">F-09;F-10;F-11;F-12;F-14;F-15</t>
  </si>
  <si>
    <t xml:space="preserve">9be399823ccf9be244917852a3f19b4ee67b5e5d2c813fae5b7f4c4fd20c4dab</t>
  </si>
  <si>
    <t xml:space="preserve">EVD-H-04-negative-access-tests</t>
  </si>
  <si>
    <t xml:space="preserve">F-17;F-18</t>
  </si>
  <si>
    <t xml:space="preserve">docs of step H4</t>
  </si>
  <si>
    <t xml:space="preserve">c724516d79f2e15cce8017516c2a82a30c2eb663c4fe08b5cc83b181213eb2eb</t>
  </si>
  <si>
    <t xml:space="preserve">EVD-H-04-policy-allow-deny-matrix</t>
  </si>
  <si>
    <t xml:space="preserve">F-17;F-18;F-21</t>
  </si>
  <si>
    <t xml:space="preserve">f838baffa93da9043a972b23f70f36a84f9442848d2805d4a2d029f4a96ad25a</t>
  </si>
  <si>
    <t xml:space="preserve">EVD-H-05-behaviour-change</t>
  </si>
  <si>
    <t xml:space="preserve">docs of step H5</t>
  </si>
  <si>
    <t xml:space="preserve">cd41c7f450672e8dcb52cf26938be81a1df6c6df40a6527761e07202370b2f23</t>
  </si>
  <si>
    <t xml:space="preserve">EVD-H-06-etl-dq-report</t>
  </si>
  <si>
    <t xml:space="preserve">F-33;F-34;F-35;F-36;F-38;F-40;F-41;F-54;F-58;F-59;F-61;F-62</t>
  </si>
  <si>
    <t xml:space="preserve">docs of step H6</t>
  </si>
  <si>
    <t xml:space="preserve">1f091a63cc2100d80f936f5d6649fd30561f2f009820ef1e63c79f81f9520ed7</t>
  </si>
  <si>
    <t xml:space="preserve">EVD-H-07-ai-gateway-results</t>
  </si>
  <si>
    <t xml:space="preserve">F-22;F-23;F-25;F-27;F-28;F-29</t>
  </si>
  <si>
    <t xml:space="preserve">docs of step H7</t>
  </si>
  <si>
    <t xml:space="preserve">38fe45eb845bc0d5c3aebbc45d155f9d0a2997ee758cf39c497312d245b1aec6</t>
  </si>
  <si>
    <t xml:space="preserve">EVD-H-08-trace-sample</t>
  </si>
  <si>
    <t xml:space="preserve">F-42;F-44;F-45</t>
  </si>
  <si>
    <t xml:space="preserve">docs of step H8</t>
  </si>
  <si>
    <t xml:space="preserve">5b79ef4cf9cc76f6b5d6e39dd9300d709b0e7633f933e1c21029adc4b07a1e88</t>
  </si>
  <si>
    <t xml:space="preserve">EVD-R-02-ci-run-1-failed</t>
  </si>
  <si>
    <t xml:space="preserve">R</t>
  </si>
  <si>
    <t xml:space="preserve">Executive defence, as-built PRD, production evidence pack</t>
  </si>
  <si>
    <t xml:space="preserve">5 Defend</t>
  </si>
  <si>
    <t xml:space="preserve">2026-10-08T12:20:58Z</t>
  </si>
  <si>
    <t xml:space="preserve">F-47</t>
  </si>
  <si>
    <t xml:space="preserve">residual-risks.md; lessons-learned.md</t>
  </si>
  <si>
    <t xml:space="preserve">23711892040269c52df2765ce8ae5dfa695369196cf274543ce27f000826a70c</t>
  </si>
  <si>
    <t xml:space="preserve">EVD-R-01-final-verification</t>
  </si>
  <si>
    <t xml:space="preserve">F-13;F-15;F-23;F-27;F-30;F-31;F-45</t>
  </si>
  <si>
    <t xml:space="preserve">production-readiness-decision.md</t>
  </si>
  <si>
    <t xml:space="preserve">510e7971405b8f1f097dc385fcbe5cb700a6ed54d5011e7108a64bc83b7db92f</t>
  </si>
  <si>
    <t xml:space="preserve">EVD-R-02-ci-run-2-green</t>
  </si>
  <si>
    <t xml:space="preserve">2026-10-08T12:23:28Z</t>
  </si>
  <si>
    <t xml:space="preserve">F-04;F-06;F-08;F-21;F-47</t>
  </si>
  <si>
    <t xml:space="preserve">ecc80c2198e52f243b4fad863caae96b5c55ec8c2d8c9f451f5306e8222a6b28</t>
  </si>
  <si>
    <t xml:space="preserve">EVD-H-09-smoke</t>
  </si>
  <si>
    <t xml:space="preserve">16-repo-validation</t>
  </si>
  <si>
    <t xml:space="preserve">F-54;F-55</t>
  </si>
  <si>
    <t xml:space="preserve">docs of step H9</t>
  </si>
  <si>
    <t xml:space="preserve">e3d44aec2bed164620555f0b9ae4deafa1d4a35c62eecdf6e14cb4417681b80f</t>
  </si>
  <si>
    <t xml:space="preserve">EVD-H-10-behaviour-diff</t>
  </si>
  <si>
    <t xml:space="preserve">docs of step H10</t>
  </si>
  <si>
    <t xml:space="preserve">c78a8433c06d9266db854f14d8ee3393ff348a4dd42dc5cdd032114fc0c92b58</t>
  </si>
  <si>
    <t xml:space="preserve">EVD-H-11-architecture-imports</t>
  </si>
  <si>
    <t xml:space="preserve">docs of step H11</t>
  </si>
  <si>
    <t xml:space="preserve">cf22df29cba03e3f711d476afbc4a1e74862bdb09cdfb53982ac28f9dcc7634e</t>
  </si>
  <si>
    <t xml:space="preserve">EVD-H-11-dependency-audit</t>
  </si>
  <si>
    <t xml:space="preserve">97b9424c9b9bdb1905993a93f0557a2705afc63f2c4421c46d1079d3e24d756d</t>
  </si>
  <si>
    <t xml:space="preserve">EVD-H-11-pytest-coverage</t>
  </si>
  <si>
    <t xml:space="preserve">4c4904decbe976b76f17e0b2520d1911bee730985864868e999a12a875dafc46</t>
  </si>
  <si>
    <t xml:space="preserve">EVD-H-11-static-analysis</t>
  </si>
  <si>
    <t xml:space="preserve">a133801206f5d18f1b8a2a73b357919ecee21be91088555fcfe65cc6f14ee960</t>
  </si>
  <si>
    <t xml:space="preserve">EVD-H-11-tg5-tg6</t>
  </si>
  <si>
    <t xml:space="preserve">9d4ebee480f60ba0c0a21d28ec290582e585d54b6b7b71e630d88151374fa030</t>
  </si>
  <si>
    <t xml:space="preserve">EVD-J-02-dataset-manifest</t>
  </si>
  <si>
    <t xml:space="preserve">J</t>
  </si>
  <si>
    <t xml:space="preserve">Intelligence core, application, integration and agents</t>
  </si>
  <si>
    <t xml:space="preserve">19-intelligence</t>
  </si>
  <si>
    <t xml:space="preserve">R2;R4</t>
  </si>
  <si>
    <t xml:space="preserve">docs of step J2</t>
  </si>
  <si>
    <t xml:space="preserve">12f6d1e61249453395f330787076dddd9376797833fe8a27632fd34e3c444479</t>
  </si>
  <si>
    <t xml:space="preserve">EVD-J-03-eval-run1</t>
  </si>
  <si>
    <t xml:space="preserve">docs of step J3</t>
  </si>
  <si>
    <t xml:space="preserve">831889be4bda61a9bdd8ed338a22318145df97be03376e7d7587985c4126e937</t>
  </si>
  <si>
    <t xml:space="preserve">EVD-J-03-eval-run2-after-remediation</t>
  </si>
  <si>
    <t xml:space="preserve">3f729728c7e621fc037ceb2cbe9c829882f019fa74ba8119302bc8bc46bd5f3d</t>
  </si>
  <si>
    <t xml:space="preserve">EVD-J-04-browser-e2e-script.py</t>
  </si>
  <si>
    <t xml:space="preserve">20-application</t>
  </si>
  <si>
    <t xml:space="preserve">F-05;F-52</t>
  </si>
  <si>
    <t xml:space="preserve">docs of step J4</t>
  </si>
  <si>
    <t xml:space="preserve">532ea7c45747e07453e50bb5fe116d96c223507d924c4444fa0656e51854f8f3</t>
  </si>
  <si>
    <t xml:space="preserve">EVD-J-04-browser-e2e</t>
  </si>
  <si>
    <t xml:space="preserve">79064bd7b6b0df59ac517e1d2bed3e32087836a44e8bdecb781b8b2fbb3c49bd</t>
  </si>
  <si>
    <t xml:space="preserve">EVD-J-04-screenshot-decision</t>
  </si>
  <si>
    <t xml:space="preserve">png</t>
  </si>
  <si>
    <t xml:space="preserve">e8176a1a476d499d1c1f6bba62a09d0ad0d468db368e65aef74a6fb8eee19cbb</t>
  </si>
  <si>
    <t xml:space="preserve">EVD-J-04-screenshot-suggestion</t>
  </si>
  <si>
    <t xml:space="preserve">4b8ef6b6919d7688e98f0104a1f978a3e86c503fdacad4f5c2d41e227c3956b2</t>
  </si>
  <si>
    <t xml:space="preserve">EVD-J-05-saga-simulation</t>
  </si>
  <si>
    <t xml:space="preserve">21-integration</t>
  </si>
  <si>
    <t xml:space="preserve">F-39</t>
  </si>
  <si>
    <t xml:space="preserve">docs of step J5</t>
  </si>
  <si>
    <t xml:space="preserve">66c0a6ef457835fb26ed61804acde5eff5cc78e3e9272c0beeb9e183ef863fe7</t>
  </si>
  <si>
    <t xml:space="preserve">EVD-J-05-saga-tests</t>
  </si>
  <si>
    <t xml:space="preserve">cd8eadbda2dd4ee54ccf1325e3fdd59fc09ec71d6c1b15a27534027975beab06</t>
  </si>
  <si>
    <t xml:space="preserve">EVD-K-01-human-control-tests</t>
  </si>
  <si>
    <t xml:space="preserve">K</t>
  </si>
  <si>
    <t xml:space="preserve">Human control, security, privacy, responsible AI, governance</t>
  </si>
  <si>
    <t xml:space="preserve">4 Prove</t>
  </si>
  <si>
    <t xml:space="preserve">23-human-control</t>
  </si>
  <si>
    <t xml:space="preserve">docs of step K1</t>
  </si>
  <si>
    <t xml:space="preserve">ebd91a777fa2223e03d14f0f9a949ecafa3b80e17a0da4cf179519ccde821828</t>
  </si>
  <si>
    <t xml:space="preserve">EVD-K-02-security-suite</t>
  </si>
  <si>
    <t xml:space="preserve">24-security-privacy</t>
  </si>
  <si>
    <t xml:space="preserve">docs of step K2</t>
  </si>
  <si>
    <t xml:space="preserve">9e84ddad8bd61c9cdf38f4948b387358b44c5f5e0ff8ee88b85f23c6aa1fd537</t>
  </si>
  <si>
    <t xml:space="preserve">EVD-K-02b-security-suite-after-m1</t>
  </si>
  <si>
    <t xml:space="preserve">deebe2780f9a2931192922f3af183473ca9c1b1a2da63e1869a64b6ae1f43859</t>
  </si>
  <si>
    <t xml:space="preserve">EVD-L-02-final-eval-run</t>
  </si>
  <si>
    <t xml:space="preserve">L</t>
  </si>
  <si>
    <t xml:space="preserve">TEVV and AI red teaming</t>
  </si>
  <si>
    <t xml:space="preserve">26-tevv</t>
  </si>
  <si>
    <t xml:space="preserve">F-29</t>
  </si>
  <si>
    <t xml:space="preserve">R3;R4</t>
  </si>
  <si>
    <t xml:space="preserve">docs of step L2</t>
  </si>
  <si>
    <t xml:space="preserve">dfdf29d208c4cdc05911c3fe8c76ba6ccfe66ccbd6d9a0677aee10d40c8ee54e</t>
  </si>
  <si>
    <t xml:space="preserve">EVD-L-03-redteam-baseline</t>
  </si>
  <si>
    <t xml:space="preserve">F-17;F-19;F-20;F-22;F-24;F-26;F-30;F-31;F-32</t>
  </si>
  <si>
    <t xml:space="preserve">docs of step L3</t>
  </si>
  <si>
    <t xml:space="preserve">690911c90695c307f620ac56aec88e8d0da9732b4f6405dbf9c381e38df9213f</t>
  </si>
  <si>
    <t xml:space="preserve">EVD-L-03-redteam-v2</t>
  </si>
  <si>
    <t xml:space="preserve">F-17;F-19;F-20;F-22;F-24;F-26;F-30;F-31;F-32;F-60</t>
  </si>
  <si>
    <t xml:space="preserve">b6f65533d6d71145d1d98da52ee5886590871091c704bc514e07984327d03356</t>
  </si>
  <si>
    <t xml:space="preserve">EVD-M-01-bandit</t>
  </si>
  <si>
    <t xml:space="preserve">M</t>
  </si>
  <si>
    <t xml:space="preserve">Hardening, resilience, incident response, BC/DR</t>
  </si>
  <si>
    <t xml:space="preserve">27-hardening</t>
  </si>
  <si>
    <t xml:space="preserve">F-49</t>
  </si>
  <si>
    <t xml:space="preserve">docs of step M1</t>
  </si>
  <si>
    <t xml:space="preserve">8a6e8b7670108e14cfedbe5432c7dc3a7b9b94fa189a5ede434b50772e32baa6</t>
  </si>
  <si>
    <t xml:space="preserve">EVD-M-01-pip-audit-dev</t>
  </si>
  <si>
    <t xml:space="preserve">70ef1b6fa497f5d480a0f3ea6e5841f0434f7d16c4d23be138e086f178b54abf</t>
  </si>
  <si>
    <t xml:space="preserve">EVD-M-01-pip-audit-runtime</t>
  </si>
  <si>
    <t xml:space="preserve">EVD-M-01-sbom-dev.cdx</t>
  </si>
  <si>
    <t xml:space="preserve">34d4a0df90df63d0c2ae3cd90a86f0db75f78f3b8ec90b219cdf11a35316cf1d</t>
  </si>
  <si>
    <t xml:space="preserve">EVD-M-01-sbom-runtime.cdx</t>
  </si>
  <si>
    <t xml:space="preserve">7b6b270a171dbb86fec07b9dd599d04792188e95a3b08805269d0f15e4c34395</t>
  </si>
  <si>
    <t xml:space="preserve">EVD-M-02-load-probe</t>
  </si>
  <si>
    <t xml:space="preserve">28-resilience</t>
  </si>
  <si>
    <t xml:space="preserve">docs of step M2</t>
  </si>
  <si>
    <t xml:space="preserve">fe069284369b402e6ad264b65bcec643eafb054804d6877036f375ae34d212af</t>
  </si>
  <si>
    <t xml:space="preserve">EVD-M-02-resilience-tests</t>
  </si>
  <si>
    <t xml:space="preserve">c6191583172113272d2031f3ed399ca7461a0dfc6ed23de62e9c8d1e17ce2c3e</t>
  </si>
  <si>
    <t xml:space="preserve">EVD-M-03-drills/drill-1-correlation-ids</t>
  </si>
  <si>
    <t xml:space="preserve">docs of step ?</t>
  </si>
  <si>
    <t xml:space="preserve">2678bb9b1575124a32cc31db1c307f5b7be08ff6036af728a55099bcd06c7bc2</t>
  </si>
  <si>
    <t xml:space="preserve">EVD-M-03-drills/drill-2-ai-gateway-timeout</t>
  </si>
  <si>
    <t xml:space="preserve">50001fe1c3022b876dcd94b1e7c511b7d99c7297dfb1378ccb1017df3a331def</t>
  </si>
  <si>
    <t xml:space="preserve">EVD-M-03-drills/drill-3-duplicate-replay</t>
  </si>
  <si>
    <t xml:space="preserve">2e780ff9b4b749a1918f0754dd988271dd3de16de8a3a765f9f03513f388ba6b</t>
  </si>
  <si>
    <t xml:space="preserve">EVD-M-03-drills/drill-4-stale-master-data</t>
  </si>
  <si>
    <t xml:space="preserve">8f8f3e35a1bc319fd0c88b56313934cb59126d16f944f3a0899c884bc09bf9be</t>
  </si>
  <si>
    <t xml:space="preserve">EVD-M-03-drills/drill-5-legacy-partial-failure</t>
  </si>
  <si>
    <t xml:space="preserve">9d7180652d755931ed94dfd855a33587ac1d8d1dc5012715d3769f0de39c0355</t>
  </si>
  <si>
    <t xml:space="preserve">EVD-M-03-drills/summary</t>
  </si>
  <si>
    <t xml:space="preserve">eec9e4e654674cf439c8ed4a888514c0e2485679fdd7f61bc513294b343f00ac</t>
  </si>
  <si>
    <t xml:space="preserve">EVD-M-03-resilience-tests-after-drills</t>
  </si>
  <si>
    <t xml:space="preserve">docs of step M3</t>
  </si>
  <si>
    <t xml:space="preserve">9c509bda36ef6a69faa52ede33666646c59e27907c5e1c8e1027767115c4b8a8</t>
  </si>
  <si>
    <t xml:space="preserve">EVD-M-04-tabletop-simulation</t>
  </si>
  <si>
    <t xml:space="preserve">29-incident-bcdr</t>
  </si>
  <si>
    <t xml:space="preserve">docs of step M4</t>
  </si>
  <si>
    <t xml:space="preserve">4b0a559a37a34090a95c38774c364d70c4b012dc734a41a55a2171aaaba8cb10</t>
  </si>
  <si>
    <t xml:space="preserve">EVD-N-03-backup-restore</t>
  </si>
  <si>
    <t xml:space="preserve">N</t>
  </si>
  <si>
    <t xml:space="preserve">Release, observability, FinOps, vendor risk</t>
  </si>
  <si>
    <t xml:space="preserve">30-release</t>
  </si>
  <si>
    <t xml:space="preserve">docs of step N3</t>
  </si>
  <si>
    <t xml:space="preserve">a2bf3c55a72cf2c96b00ad4b938ef0f78edeee97df911f918e8e95a2b6a4268e</t>
  </si>
  <si>
    <t xml:space="preserve">EVD-N-01-full-suite</t>
  </si>
  <si>
    <t xml:space="preserve">31-observability</t>
  </si>
  <si>
    <t xml:space="preserve">F-46</t>
  </si>
  <si>
    <t xml:space="preserve">docs of step N1</t>
  </si>
  <si>
    <t xml:space="preserve">dcd4e5b0fa68b3dfb016e6b78802228458437b48d4f3d1de44da866debd0c916</t>
  </si>
  <si>
    <t xml:space="preserve">EVD-N-01-observability-validation</t>
  </si>
  <si>
    <t xml:space="preserve">b18c9aebb64f1dabeec34b6564f2d4e941468881eca1aa93229300a88af90485</t>
  </si>
  <si>
    <t xml:space="preserve">EVD-N-01b-full-suite-after-p</t>
  </si>
  <si>
    <t xml:space="preserve">d05daff4a35eb0de4423bbce4f3887cd4c58c2116bfb10cfc36c642e4d19d842</t>
  </si>
  <si>
    <t xml:space="preserve">EVD-N-02-reconstruction</t>
  </si>
  <si>
    <t xml:space="preserve">F-42;F-43;F-44;F-45</t>
  </si>
  <si>
    <t xml:space="preserve">R1;R3;R4</t>
  </si>
  <si>
    <t xml:space="preserve">docs of step N2</t>
  </si>
  <si>
    <t xml:space="preserve">1eed65aa84641d9e7d564b91a99baa04006f1ba05ca26590cdae5a8181e6c241</t>
  </si>
  <si>
    <t xml:space="preserve">EVD-N-04-finops-model</t>
  </si>
  <si>
    <t xml:space="preserve">32-finops</t>
  </si>
  <si>
    <t xml:space="preserve">docs of step N4</t>
  </si>
  <si>
    <t xml:space="preserve">207c99d898ebf3cee5d81c1a7990823b06c41fd606117872a91936195f437bac</t>
  </si>
  <si>
    <t xml:space="preserve">EVD-O-01-after-kpis</t>
  </si>
  <si>
    <t xml:space="preserve">O</t>
  </si>
  <si>
    <t xml:space="preserve">Outcome measurement, value leakage, benefits</t>
  </si>
  <si>
    <t xml:space="preserve">34-after-kpis</t>
  </si>
  <si>
    <t xml:space="preserve">docs of step O1</t>
  </si>
  <si>
    <t xml:space="preserve">3708e637ef8963bda70458efcea4a75f6521f9972ce5610e4ffc73a7b2dea717</t>
  </si>
  <si>
    <t xml:space="preserve">EVD-O-03-benefit-model</t>
  </si>
  <si>
    <t xml:space="preserve">36-benefits</t>
  </si>
  <si>
    <t xml:space="preserve">docs of step O3</t>
  </si>
  <si>
    <t xml:space="preserve">2afe6092b217cb967a19100ba71c32fb09eadc66e7fdd0bfe0112e7cbffc7e52</t>
  </si>
  <si>
    <t xml:space="preserve">EVD-P-02-operator-exercises</t>
  </si>
  <si>
    <t xml:space="preserve">P</t>
  </si>
  <si>
    <t xml:space="preserve">Operating model, handover, drift, scale, retirement</t>
  </si>
  <si>
    <t xml:space="preserve">38-handover</t>
  </si>
  <si>
    <t xml:space="preserve">F-07</t>
  </si>
  <si>
    <t xml:space="preserve">docs of step P2</t>
  </si>
  <si>
    <t xml:space="preserve">0482bd0cf4b1edf59e04ea08f2b7ab4a6ba2d2d45fc2e423b430b1e3be6780ab</t>
  </si>
  <si>
    <t xml:space="preserve">EVD-P-03-drift-check-clean</t>
  </si>
  <si>
    <t xml:space="preserve">39-continuous-improvement</t>
  </si>
  <si>
    <t xml:space="preserve">docs of step P3</t>
  </si>
  <si>
    <t xml:space="preserve">68b946cf2f1147b84059905b7a80e23bdaeea3e6bc06eca8a3492b7a59d8258f</t>
  </si>
  <si>
    <t xml:space="preserve">EVD-P-03-drift-check-drifted</t>
  </si>
  <si>
    <t xml:space="preserve">702f90ca3f04232249f31c3dc207c67aee97f3e3afa0b9914b9f6df54adc29a4</t>
  </si>
  <si>
    <t xml:space="preserve">EVD-Q-01-preregistration</t>
  </si>
  <si>
    <t xml:space="preserve">Q</t>
  </si>
  <si>
    <t xml:space="preserve">Model portability validation and demonstration</t>
  </si>
  <si>
    <t xml:space="preserve">40-scale</t>
  </si>
  <si>
    <t xml:space="preserve">2026-10-08T12:12:28Z</t>
  </si>
  <si>
    <t xml:space="preserve">semantic-layer-portability-test.md</t>
  </si>
  <si>
    <t xml:space="preserve">d050b98fe3a419f360f48be9edb646e952ccd3d08488cd5639d41556da875014</t>
  </si>
  <si>
    <t xml:space="preserve">EVD-Q-02-comparison</t>
  </si>
  <si>
    <t xml:space="preserve">model-comparison.md</t>
  </si>
  <si>
    <t xml:space="preserve">25b4aaddc9c676a3d13545292d79e791d6b3296d750047d7eae28ed004b32656</t>
  </si>
  <si>
    <t xml:space="preserve">EVD-Q-04-harness-accept</t>
  </si>
  <si>
    <t xml:space="preserve">2026-10-08T13:09:26Z</t>
  </si>
  <si>
    <t xml:space="preserve">R2;R5</t>
  </si>
  <si>
    <t xml:space="preserve">65f2ebc3273aeb575ca6b1d1551fcf12293d567872c79d48e6e4d5347341c433</t>
  </si>
  <si>
    <t xml:space="preserve">EVD-Q-04-adapter-a</t>
  </si>
  <si>
    <t xml:space="preserve">ec136b28fef0c35ad0f1279b7fba6db491ecfa33d27e0a7770fab7af8d7098da</t>
  </si>
  <si>
    <t xml:space="preserve">EVD-Q-04-build-brief</t>
  </si>
  <si>
    <t xml:space="preserve">9756dedad564cf4092e4f784cd961cfcb610f4f1c61f73c37f0b0393dd3afb6c</t>
  </si>
  <si>
    <t xml:space="preserve">EVD-Q-04-bundle-sha256</t>
  </si>
  <si>
    <t xml:space="preserve">57868ce78c130e64db6e1cca9dc0e1d425a51c060df3eca101991ddaca1b9cc2</t>
  </si>
  <si>
    <t xml:space="preserve">EVD-Q-04-control-A-eval</t>
  </si>
  <si>
    <t xml:space="preserve">ca535583e1339ad66c87fc97de620f2616eb82276dea42417d98b9925e98fb79</t>
  </si>
  <si>
    <t xml:space="preserve">EVD-Q-04-control-A-http</t>
  </si>
  <si>
    <t xml:space="preserve">82350bea067346789f169cb4e3669209320f17a6ac8f12fa062c8901e058217b</t>
  </si>
  <si>
    <t xml:space="preserve">EVD-Q-04-harness-preregistration</t>
  </si>
  <si>
    <t xml:space="preserve">8b622a5c88105d75963a352b0007f06a023a32970947beb42d32f395047c2e9b</t>
  </si>
  <si>
    <t xml:space="preserve">EVD-Q-05-model-b-transcript</t>
  </si>
  <si>
    <t xml:space="preserve">jsonl</t>
  </si>
  <si>
    <t xml:space="preserve">2026-10-08T13:51:27Z</t>
  </si>
  <si>
    <t xml:space="preserve">semantic-layer-portability-test.md; model-comparison.md</t>
  </si>
  <si>
    <t xml:space="preserve">7fb1472046dfee8e3edb03cd87e5574d592b085a9ef7e65c69d4885f2c17412d</t>
  </si>
  <si>
    <t xml:space="preserve">EVD-Q-05-model-b-meta</t>
  </si>
  <si>
    <t xml:space="preserve">a3f23119b8f49abb20c467029423b67a2b0d071f82b935a351304e2986295afa</t>
  </si>
  <si>
    <t xml:space="preserve">EVD-Q-05-model-b-build.tar</t>
  </si>
  <si>
    <t xml:space="preserve">gz</t>
  </si>
  <si>
    <t xml:space="preserve">14d503b12422353fb7c1a0f1bff5166c02c6cfca3570023e89bf3e9bd61f2801</t>
  </si>
  <si>
    <t xml:space="preserve">EVD-Q-05-model-b-notes</t>
  </si>
  <si>
    <t xml:space="preserve">86af3789f56bc6fe86c83e69501187c89fe7bf97fcd2040004e247f251939e7f</t>
  </si>
  <si>
    <t xml:space="preserve">EVD-Q-05-model-b-eval</t>
  </si>
  <si>
    <t xml:space="preserve">d1c521804b2171cc9f7c091da0e71a90fa93c7c02fa9ea3aa1afbb92de46984e</t>
  </si>
  <si>
    <t xml:space="preserve">EVD-Q-05-model-b-http</t>
  </si>
  <si>
    <t xml:space="preserve">8d57a3f6a79ebed41c9ffa07a01882326f4a4dbe1973440463f7c971900eb6d3</t>
  </si>
  <si>
    <t xml:space="preserve">EVD-Q-05-model-b-http-supp-ai_agent</t>
  </si>
  <si>
    <t xml:space="preserve">89b7630c1722771b4621d39212412b42718c3d5e4226b98207378a21216eb93f</t>
  </si>
  <si>
    <t xml:space="preserve">EVD-Q-05-harness-accept-supp</t>
  </si>
  <si>
    <t xml:space="preserve">e6344f3f760bb854600cd8d53a8f996ab7f4541dd45bd349938c8dc8890ff0a2</t>
  </si>
  <si>
    <t xml:space="preserve">EVD-Q-05-posthoc-recommendation-class</t>
  </si>
  <si>
    <t xml:space="preserve">f23bff6e2a539d6609202c0b259581e08a3c5fbc82503554e3b75ffe9804faa3</t>
  </si>
  <si>
    <t xml:space="preserve">5c7b388638b6d8216d983ef0de2f87ad8e6d674513b224de70f661e4e76f449b</t>
  </si>
  <si>
    <t xml:space="preserve">EVD-Q-05-model-b-prompt</t>
  </si>
  <si>
    <t xml:space="preserve">7fa9ab4ea1864e497629ab86ceb56d18a5125b245d5b71ef3b0fcd6fe98c3f6b</t>
  </si>
  <si>
    <t xml:space="preserve">EVD-Q-05-blindness-check</t>
  </si>
  <si>
    <t xml:space="preserve">d46562a75311829ba853d7d34130692d7684676fc33613179fb7c47465ec30c7</t>
  </si>
  <si>
    <t xml:space="preserve">EVD-Q-06-comparison</t>
  </si>
  <si>
    <t xml:space="preserve">5a4971acea3e7d7ceb035d17f2c959d34b61202864fba88ef997b41aaa985b3e</t>
  </si>
  <si>
    <t xml:space="preserve">EVD-Q-07-manifest-reverification</t>
  </si>
  <si>
    <t xml:space="preserve">2026-10-08T13:51:50Z</t>
  </si>
  <si>
    <t xml:space="preserve">stage-q-gate.md; EVIDENCE-INDEX.md</t>
  </si>
  <si>
    <t xml:space="preserve">16fa19c6acfce1e404efcc596f3ca6271f01fdc064369e0ff3e2176b073bf557</t>
  </si>
  <si>
    <t xml:space="preserve">EVD-Q-03-demo-rehearsal</t>
  </si>
  <si>
    <t xml:space="preserve">42-executive</t>
  </si>
  <si>
    <t xml:space="preserve">demo-day-script.md</t>
  </si>
  <si>
    <t xml:space="preserve">4d74a7e8920cbe67c5729cea0654984e84e1980bb9cf95ac3ed6c0f00f2d0be2</t>
  </si>
  <si>
    <t xml:space="preserve">EVD-Q-03-rehearsal-script</t>
  </si>
  <si>
    <t xml:space="preserve">sh</t>
  </si>
  <si>
    <t xml:space="preserve">0b5366ba424272f5f658e48bd9bf195e0a523b5989067c1d24c2278c9606866b</t>
  </si>
  <si>
    <t xml:space="preserve">EVD-R-03-manifest-verification</t>
  </si>
  <si>
    <t xml:space="preserve">2026-10-08T12:29:03Z</t>
  </si>
  <si>
    <t xml:space="preserve">final-gate.md</t>
  </si>
  <si>
    <t xml:space="preserve">067f226daad1e9de98d1631b12e6699c79e901256545e34efeb138aa2d8c4b1c</t>
  </si>
  <si>
    <t xml:space="preserve">EVD-R-03-verify-manifests</t>
  </si>
  <si>
    <t xml:space="preserve">83aa911e01ab3607b99199cd97b7b602cdfa265c279e4e9572c2cbd981c3081c</t>
  </si>
  <si>
    <t xml:space="preserve">EVD-S-01-coverage-matrix</t>
  </si>
  <si>
    <t xml:space="preserve">S</t>
  </si>
  <si>
    <t xml:space="preserve">Rubric traceability (Runbook 03)</t>
  </si>
  <si>
    <t xml:space="preserve">6 Close-out</t>
  </si>
  <si>
    <t xml:space="preserve">43-rubric-traceability</t>
  </si>
  <si>
    <t xml:space="preserve">2026-10-08T16:04:58Z</t>
  </si>
  <si>
    <t xml:space="preserve">docs/43-rubric-traceability/rubric-coverage-matrix.md</t>
  </si>
  <si>
    <t xml:space="preserve">eec00684c109d6134a28f5a467f5271c3962ad0afeb39c79d72130e6658693c3</t>
  </si>
  <si>
    <t xml:space="preserve">EVD-S-02-finding-rubric-map</t>
  </si>
  <si>
    <t xml:space="preserve">docs/43-rubric-traceability/finding-rubric-map.md</t>
  </si>
  <si>
    <t xml:space="preserve">9063a0376f7b9fce819b62f3a81e60b7b18f3f9e274685a686d92a7b6065d9c6</t>
  </si>
  <si>
    <t xml:space="preserve">EVD-S-01-gen-matrix</t>
  </si>
  <si>
    <t xml:space="preserve">rubric-coverage-matrix.md; blocker-status.md</t>
  </si>
  <si>
    <t xml:space="preserve">f3d88b4994810c4527d58994af8eccbece61267cc15089d0d7a2b6ee937061ea</t>
  </si>
  <si>
    <t xml:space="preserve">EVD-S-01-matrix-rows</t>
  </si>
  <si>
    <t xml:space="preserve">7f9f7902f12e89c653b519f7c4e8e69323fa162b44e15b90aed515fc4ade3cd3</t>
  </si>
  <si>
    <t xml:space="preserve">EVD-S-02-gen-blockers-and-map</t>
  </si>
  <si>
    <t xml:space="preserve">9aa6e49ddeb01f90114c789536e9cb812afac961e69e24e4ac78b84bc0344677</t>
  </si>
  <si>
    <t xml:space="preserve">EVD-S-03-finding-evidence-links</t>
  </si>
  <si>
    <t xml:space="preserve">2026-10-08T16:05:38Z</t>
  </si>
  <si>
    <t xml:space="preserve">evidence/EVIDENCE-INDEX.csv; docs/43-rubric-traceability/evidence-index-notes.md</t>
  </si>
  <si>
    <t xml:space="preserve">f8d1b2933a86b41c7ed2429309031eefc697d5af4deb1b56411947a05b013128</t>
  </si>
  <si>
    <t xml:space="preserve">EVD-S-04-verification</t>
  </si>
  <si>
    <t xml:space="preserve">2026-10-08T16:06:55Z</t>
  </si>
  <si>
    <t xml:space="preserve">docs/43-rubric-traceability/verification.md</t>
  </si>
  <si>
    <t xml:space="preserve">5158251708ef62a5dbdeb31588c3ab0fdf99cbb36417d6ec0cf103586c2413d5</t>
  </si>
  <si>
    <t xml:space="preserve">EVD-S-04-verify-r3</t>
  </si>
  <si>
    <t xml:space="preserve">80c77f151c8279919c1bdab988b4645c12a9db8b72011141cddbafa6ee2f3878</t>
  </si>
  <si>
    <t xml:space="preserve">EVD-S-04-gen-index</t>
  </si>
  <si>
    <t xml:space="preserve">bdaee290ccfc2e652164f37360ea4505914fc6eb44b0e4d4c808b10606b3b296</t>
  </si>
  <si>
    <t xml:space="preserve">EVD-T-01-operator-decision-record</t>
  </si>
  <si>
    <t xml:space="preserve">T</t>
  </si>
  <si>
    <t xml:space="preserve">Open questions and decisions (Runbook 04)</t>
  </si>
  <si>
    <t xml:space="preserve">44-decisions</t>
  </si>
  <si>
    <t xml:space="preserve">2026-10-08T16:33:03Z</t>
  </si>
  <si>
    <t xml:space="preserve">docs/44-decisions/open-questions-register-v2.md; runbook/04-OPEN-QUESTIONS-FINAL-REVISION.md</t>
  </si>
  <si>
    <t xml:space="preserve">63041f322b3c570695e6a8eb389c13fef56e24b79a6af51ef8d014df58d0f9ba</t>
  </si>
  <si>
    <t xml:space="preserve">62 baseline findings and their final disposition</t>
  </si>
  <si>
    <t xml:space="preserve">Source: evidence/13-traceability/EVD-F-04b-finding-disposition-final.csv; rubric criteria from EVD-S-02. S1 = most severe.</t>
  </si>
  <si>
    <t xml:space="preserve">Finding</t>
  </si>
  <si>
    <t xml:space="preserve">Severity</t>
  </si>
  <si>
    <t xml:space="preserve">Title</t>
  </si>
  <si>
    <t xml:space="preserve">Final disposition</t>
  </si>
  <si>
    <t xml:space="preserve">Owner role</t>
  </si>
  <si>
    <t xml:space="preserve">Note</t>
  </si>
  <si>
    <t xml:space="preserve">S1</t>
  </si>
  <si>
    <t xml:space="preserve">The repository is not under version control</t>
  </si>
  <si>
    <t xml:space="preserve">R1;R3</t>
  </si>
  <si>
    <t xml:space="preserve">evidence/00-preflight/EVD-A-01-tag-verification.txt</t>
  </si>
  <si>
    <t xml:space="preserve">n/a</t>
  </si>
  <si>
    <t xml:space="preserve">S2</t>
  </si>
  <si>
    <t xml:space="preserve">The documented test command cannot run</t>
  </si>
  <si>
    <t xml:space="preserve">R1;R4</t>
  </si>
  <si>
    <t xml:space="preserve">evidence/15-modernization/EVD-H-02-quickstart-after.txt vs evidence/07-repo-assessment/EVD-C-02-quickstart-transcript.txt; CI run 2</t>
  </si>
  <si>
    <t xml:space="preserve">F-03</t>
  </si>
  <si>
    <t xml:space="preserve">S3</t>
  </si>
  <si>
    <t xml:space="preserve">The documented run command is wrong</t>
  </si>
  <si>
    <t xml:space="preserve">README Quick Start; EVD-H-02</t>
  </si>
  <si>
    <t xml:space="preserve">F-04</t>
  </si>
  <si>
    <t xml:space="preserve">No dependency lockfile for either stack</t>
  </si>
  <si>
    <t xml:space="preserve">hash-pinned requirements.txt/requirements-dev.txt (--require-hashes in CI run 2); apps/web/package-lock.json (lockfileVersion 3)</t>
  </si>
  <si>
    <t xml:space="preserve">Web lead (UNRESOLVED)</t>
  </si>
  <si>
    <t xml:space="preserve">npm audit not run (DEBT-14)</t>
  </si>
  <si>
    <t xml:space="preserve">F-05</t>
  </si>
  <si>
    <t xml:space="preserve">Documentation claims a portal that does not exist</t>
  </si>
  <si>
    <t xml:space="preserve">README corrected; thin static operations view; tests/test_ops_view.py; EVD-J-04-browser-e2e.json</t>
  </si>
  <si>
    <t xml:space="preserve">Product owner (UNRESOLVED)</t>
  </si>
  <si>
    <t xml:space="preserve">Angular portal NOT built; OQ-06 ruling</t>
  </si>
  <si>
    <t xml:space="preserve">F-06</t>
  </si>
  <si>
    <t xml:space="preserve">The frontend lint gate is "lint": "echo scaffold" — a no-op that reports success.</t>
  </si>
  <si>
    <t xml:space="preserve">apps/web/package.json lint now runs scripts/lint-scaffold.mjs instead of echo</t>
  </si>
  <si>
    <t xml:space="preserve">a scaffold check, not a framework linter; no frontend build exists (DEBT-10)</t>
  </si>
  <si>
    <t xml:space="preserve">No containerisation or environment definition: no Dockerfile, no compose file, no devconta</t>
  </si>
  <si>
    <t xml:space="preserve">Dockerfile, docker-compose.yml, entrypoint; EVD-P-02 exercises</t>
  </si>
  <si>
    <t xml:space="preserve">Platform lead (UNRESOLVED)</t>
  </si>
  <si>
    <t xml:space="preserve">image never built in this workspace (DEBT-06)</t>
  </si>
  <si>
    <t xml:space="preserve">No change-control surface: no CONTRIBUTING.md, no PR template, no CODEOWNERS, no branch-pr</t>
  </si>
  <si>
    <t xml:space="preserve">CODEOWNERS, PR template, CONTRIBUTING.md, SECURITY.md; GitHub API 2026-10-08: main branch not protected (HTTP 404)</t>
  </si>
  <si>
    <t xml:space="preserve">Repository owner (UNRESOLVED)</t>
  </si>
  <si>
    <t xml:space="preserve">branch protection needs admin action</t>
  </si>
  <si>
    <t xml:space="preserve">F-09</t>
  </si>
  <si>
    <t xml:space="preserve">A database password is hardcoded in source</t>
  </si>
  <si>
    <t xml:space="preserve">EVD-H-03-secret-scan.json (0 findings); tests/test_secret_scan.py</t>
  </si>
  <si>
    <t xml:space="preserve">value still in git history and in public repo: see F-09 history row DEBT-11, RA-07</t>
  </si>
  <si>
    <t xml:space="preserve">F-10</t>
  </si>
  <si>
    <t xml:space="preserve">.env.example ships a complete DSN with embedded credentials: postgresql://app_shared:Welco</t>
  </si>
  <si>
    <t xml:space="preserve">EVD-H-03; scripts/secret_scan.py</t>
  </si>
  <si>
    <t xml:space="preserve">history residual (DEBT-11)</t>
  </si>
  <si>
    <t xml:space="preserve">F-11</t>
  </si>
  <si>
    <t xml:space="preserve">.env.example ships AI_GATEWAY_KEY=sk-workshop-hardcoded-example — a key-shaped literal in </t>
  </si>
  <si>
    <t xml:space="preserve">EVD-H-03</t>
  </si>
  <si>
    <t xml:space="preserve">F-12</t>
  </si>
  <si>
    <t xml:space="preserve">.env.example ships OT_VENDOR_TOKEN=replace-me-but-currently-shared — the comment itself do</t>
  </si>
  <si>
    <t xml:space="preserve">F-13</t>
  </si>
  <si>
    <t xml:space="preserve">.env.example sets LOG_LEVEL=DEBUG as the default, meaning verbose logging of operational p</t>
  </si>
  <si>
    <t xml:space="preserve">tests/test_config.py</t>
  </si>
  <si>
    <t xml:space="preserve">F-14</t>
  </si>
  <si>
    <t xml:space="preserve">No secret detection anywhere: no scanner in CI, no pre-commit hooks, no rotation policy</t>
  </si>
  <si>
    <t xml:space="preserve">scripts/secret_scan.py in CI run 2; tests/test_secret_scan.py</t>
  </si>
  <si>
    <t xml:space="preserve">F-15</t>
  </si>
  <si>
    <t xml:space="preserve">The IaC emits a credential artifact</t>
  </si>
  <si>
    <t xml:space="preserve">tests/test_config.py; infra/terraform/main.tf emits no credential</t>
  </si>
  <si>
    <t xml:space="preserve">No encryption posture exists: no TLS configuration, no at-rest statement, no key managemen</t>
  </si>
  <si>
    <t xml:space="preserve">GAP-01; privacy-impact-assessment.md</t>
  </si>
  <si>
    <t xml:space="preserve">TLS and at-rest encryption belong to an undecided platform</t>
  </si>
  <si>
    <t xml:space="preserve">Authorisation is a client-supplied HTTP header</t>
  </si>
  <si>
    <t xml:space="preserve">tests/test_identity_policy.py; EVD-H-04; EVD-L-03 RT-02/RT-11 baseline succeed, v2 fail</t>
  </si>
  <si>
    <t xml:space="preserve">F-18</t>
  </si>
  <si>
    <t xml:space="preserve">The role check is a flat five-element allow-list with no resource, tenant, facility, purpo</t>
  </si>
  <si>
    <t xml:space="preserve">policy engine + access-semantics.yaml; EVD-H-04 allow/deny matrix</t>
  </si>
  <si>
    <t xml:space="preserve">scope narrowing by hub/fleet not enforceable (DEBT-05)</t>
  </si>
  <si>
    <t xml:space="preserve">F-19</t>
  </si>
  <si>
    <t xml:space="preserve">The allow-list contains a persona from another domain</t>
  </si>
  <si>
    <t xml:space="preserve">characterization AB-04; RT-03</t>
  </si>
  <si>
    <t xml:space="preserve">F-20</t>
  </si>
  <si>
    <t xml:space="preserve">The AI endpoint has no authorisation check whatsoever</t>
  </si>
  <si>
    <t xml:space="preserve">characterization AB-06; RT-01</t>
  </si>
  <si>
    <t xml:space="preserve">F-21</t>
  </si>
  <si>
    <t xml:space="preserve">policy/opa/access.rego is role-only (admin → all, operator → read)</t>
  </si>
  <si>
    <t xml:space="preserve">policy/opa/access.rego generated from access-semantics; opa check and opa test green in CI run 2</t>
  </si>
  <si>
    <t xml:space="preserve">engine in request path is Python; OPA parity test skipped locally, run in CI</t>
  </si>
  <si>
    <t xml:space="preserve">F-22</t>
  </si>
  <si>
    <t xml:space="preserve">Prompt injection surface</t>
  </si>
  <si>
    <t xml:space="preserve">tests/test_ai_gateway.py; RT-07 baseline succeeds, v2 fails</t>
  </si>
  <si>
    <t xml:space="preserve">tested with constructed payloads only (F-60)</t>
  </si>
  <si>
    <t xml:space="preserve">F-23</t>
  </si>
  <si>
    <t xml:space="preserve">Using str.format() on attacker-influenceable content is additionally a format-string injec</t>
  </si>
  <si>
    <t xml:space="preserve">tests/test_ai_gateway.py (no str.format on data)</t>
  </si>
  <si>
    <t xml:space="preserve">F-24</t>
  </si>
  <si>
    <t xml:space="preserve">The system self-reports that no guardrail exists: the response literal is "guardrail_statu</t>
  </si>
  <si>
    <t xml:space="preserve">characterization AB-07; RT-09</t>
  </si>
  <si>
    <t xml:space="preserve">guardrail is deterministic; untested against a real model</t>
  </si>
  <si>
    <t xml:space="preserve">F-25</t>
  </si>
  <si>
    <t xml:space="preserve">No output schema validation</t>
  </si>
  <si>
    <t xml:space="preserve">schema validation in gateway; EVD-H-07</t>
  </si>
  <si>
    <t xml:space="preserve">No human approval gate</t>
  </si>
  <si>
    <t xml:space="preserve">tests/test_human_control.py (9); RT-10</t>
  </si>
  <si>
    <t xml:space="preserve">self-approval still possible (HC-R-01, RA-04)</t>
  </si>
  <si>
    <t xml:space="preserve">F-27</t>
  </si>
  <si>
    <t xml:space="preserve">Model provenance is a module constant (MODEL_VERSION = "local-sim-v1")</t>
  </si>
  <si>
    <t xml:space="preserve">prompts.lock.json, models.lock.json, registry; tests/test_prompt_lock.py</t>
  </si>
  <si>
    <t xml:space="preserve">F-28</t>
  </si>
  <si>
    <t xml:space="preserve">Token accounting is fabricated: token_estimate = len(prompt.split()) * 2</t>
  </si>
  <si>
    <t xml:space="preserve">R2;R3</t>
  </si>
  <si>
    <t xml:space="preserve">tokens are estimates; EVD-H-07</t>
  </si>
  <si>
    <t xml:space="preserve">AI lead (UNRESOLVED)</t>
  </si>
  <si>
    <t xml:space="preserve">real counts only with a real model</t>
  </si>
  <si>
    <t xml:space="preserve">The AI output is not derived from the record's meaning</t>
  </si>
  <si>
    <t xml:space="preserve">deterministic summary from allow-listed facts (AB-08)</t>
  </si>
  <si>
    <t xml:space="preserve">ETA Prediction, Route Optimization, Exception Copilot remain NOT IMPLEMENTED; answer quality unproven</t>
  </si>
  <si>
    <t xml:space="preserve">F-30</t>
  </si>
  <si>
    <t xml:space="preserve">Cross-entity primary-key collision</t>
  </si>
  <si>
    <t xml:space="preserve">R1;R2</t>
  </si>
  <si>
    <t xml:space="preserve">tests/test_record_lookup.py; RT-06</t>
  </si>
  <si>
    <t xml:space="preserve">REC-0001 rejected by key pattern; owner intent OQ-15 unresolved</t>
  </si>
  <si>
    <t xml:space="preserve">F-31</t>
  </si>
  <si>
    <t xml:space="preserve">Record lookup scans every column, not the key</t>
  </si>
  <si>
    <t xml:space="preserve">tests/test_record_lookup.py; RT-04</t>
  </si>
  <si>
    <t xml:space="preserve">F-32</t>
  </si>
  <si>
    <t xml:space="preserve">A missed lookup silently returns the wrong record</t>
  </si>
  <si>
    <t xml:space="preserve">characterization + 404/422; RT-05</t>
  </si>
  <si>
    <t xml:space="preserve">F-33</t>
  </si>
  <si>
    <t xml:space="preserve">Three duplicate business keys in every dataset, at a consistent *-00004, *-00013, *-00019 </t>
  </si>
  <si>
    <t xml:space="preserve">tests/test_etl_quarantine.py; EVD-H-06</t>
  </si>
  <si>
    <t xml:space="preserve">quarantined to data/quarantine; fixture untouched</t>
  </si>
  <si>
    <t xml:space="preserve">F-34</t>
  </si>
  <si>
    <t xml:space="preserve">One fully-blank mandatory row in every dataset — every non-key column empty (10 blank colu</t>
  </si>
  <si>
    <t xml:space="preserve">tests/test_etl_quarantine.py</t>
  </si>
  <si>
    <t xml:space="preserve">F-35</t>
  </si>
  <si>
    <t xml:space="preserve">One impossible timestamp per timestamped dataset: 1900-01-01T00:00:00 in shipments.promise</t>
  </si>
  <si>
    <t xml:space="preserve">F-36</t>
  </si>
  <si>
    <t xml:space="preserve">tracking_events.confidence spans 0.001–1.42</t>
  </si>
  <si>
    <t xml:space="preserve">ETL validation rules; EVD-H-06</t>
  </si>
  <si>
    <t xml:space="preserve">No semantic layer: categorical columns are polluted with workflow-status vocabulary</t>
  </si>
  <si>
    <t xml:space="preserve">semantic-layer/ (status-taxonomy, enum-violations.md); enforced in ETL</t>
  </si>
  <si>
    <t xml:space="preserve">enum meaning of 14 tokens is inferred, not owner-confirmed</t>
  </si>
  <si>
    <t xml:space="preserve">F-38</t>
  </si>
  <si>
    <t xml:space="preserve">Referential integrity is unenforced</t>
  </si>
  <si>
    <t xml:space="preserve">ETL orphan and duplicate-booking checks; EVD-H-06</t>
  </si>
  <si>
    <t xml:space="preserve">A retry storm is already visible in the data</t>
  </si>
  <si>
    <t xml:space="preserve">retry ceiling 5 and idempotency key; tests/test_carrier_saga.py; EVD-J-05</t>
  </si>
  <si>
    <t xml:space="preserve">against a simulated carrier only</t>
  </si>
  <si>
    <t xml:space="preserve">F-40</t>
  </si>
  <si>
    <t xml:space="preserve">ETL counts defects and discards them</t>
  </si>
  <si>
    <t xml:space="preserve">tests/characterization; non-zero exit above threshold; EVD-H-06</t>
  </si>
  <si>
    <t xml:space="preserve">F-41</t>
  </si>
  <si>
    <t xml:space="preserve">The ETL has no run identifier, watermark or idempotency key</t>
  </si>
  <si>
    <t xml:space="preserve">run_id and load_id in ETL report</t>
  </si>
  <si>
    <t xml:space="preserve">F-42</t>
  </si>
  <si>
    <t xml:space="preserve">About one third of the event stream cannot be correlated</t>
  </si>
  <si>
    <t xml:space="preserve">new events carry correlation id (tests/test_audit_chain.py); N2 reconstruction</t>
  </si>
  <si>
    <t xml:space="preserve">Data owner (UNRESOLVED)</t>
  </si>
  <si>
    <t xml:space="preserve">historical events.jsonl unchanged: 1,992 of 3,000 unusable (D-012)</t>
  </si>
  <si>
    <t xml:space="preserve">F-43</t>
  </si>
  <si>
    <t xml:space="preserve">The audit event records only ts, action and details</t>
  </si>
  <si>
    <t xml:space="preserve">characterization AB-09; EVD-N-02 field coverage 10/10</t>
  </si>
  <si>
    <t xml:space="preserve">F-44</t>
  </si>
  <si>
    <t xml:space="preserve">The audit sink is a local file written by the application itself — &lt;repo&gt;/logs/audit.log, </t>
  </si>
  <si>
    <t xml:space="preserve">hash-chained audit; /audit/verify; tamper test</t>
  </si>
  <si>
    <t xml:space="preserve">sink still a local file written by the audited process (DEBT-04)</t>
  </si>
  <si>
    <t xml:space="preserve">F-45</t>
  </si>
  <si>
    <t xml:space="preserve">datetime.utcnow() yields a naive timestamp with no timezone marker</t>
  </si>
  <si>
    <t xml:space="preserve">timezone-aware UTC timestamps in the v2 chain; tests/test_audit_chain.py</t>
  </si>
  <si>
    <t xml:space="preserve">legacy shim apps/api/services/audit.py still calls utcnow(); documented as not called by the API (DEBT-12)</t>
  </si>
  <si>
    <t xml:space="preserve">No tracing, no metrics, no SLOs, no dashboards-as-code, no alerting, no error budget</t>
  </si>
  <si>
    <t xml:space="preserve">/ready, /metrics, 3 dashboards, 15 alerts as code (EVD-N-01: 31 rules, 0 failed)</t>
  </si>
  <si>
    <t xml:space="preserve">SRE (UNRESOLVED)</t>
  </si>
  <si>
    <t xml:space="preserve">no traces; no collector has ever run; no alert recipients</t>
  </si>
  <si>
    <t xml:space="preserve">CI executes commands but produces no evidence</t>
  </si>
  <si>
    <t xml:space="preserve">CI ran on GitHub (runs 37774970836 failed, 37776230304 green on 3.11 and 3.14): lint, types, secret scan, coverage, OPA, evidence artifacts</t>
  </si>
  <si>
    <t xml:space="preserve">CI has no SAST or dependency-audit or SBOM step (run locally in M1)</t>
  </si>
  <si>
    <t xml:space="preserve">F-48</t>
  </si>
  <si>
    <t xml:space="preserve">The Terraform is a local_file resource with no provider, no backend, no state management a</t>
  </si>
  <si>
    <t xml:space="preserve">infra/terraform/main.tf emits no credential but provisions nothing</t>
  </si>
  <si>
    <t xml:space="preserve">M-X2 NOT MET</t>
  </si>
  <si>
    <t xml:space="preserve">supply-chain/dependency-risk-register.md correctly names "no SBOM" and "no provenance" as </t>
  </si>
  <si>
    <t xml:space="preserve">EVD-M-01 SBOM runtime 21 and dev 58 components, pip-audit 0, bandit 12 triaged</t>
  </si>
  <si>
    <t xml:space="preserve">SBOM not produced by CI</t>
  </si>
  <si>
    <t xml:space="preserve">F-50</t>
  </si>
  <si>
    <t xml:space="preserve">The API contract omits both business endpoints</t>
  </si>
  <si>
    <t xml:space="preserve">OpenAPI drift test tests/test_contract_ops.py; sanity_check openapi_route_diff clean</t>
  </si>
  <si>
    <t xml:space="preserve">The characterization test characterises nothing</t>
  </si>
  <si>
    <t xml:space="preserve">tests/characterization (11 behaviours); EVD-C-08</t>
  </si>
  <si>
    <t xml:space="preserve">F-52</t>
  </si>
  <si>
    <t xml:space="preserve">tests/playwright/operations.spec.ts asserts that body is visible against an application th</t>
  </si>
  <si>
    <t xml:space="preserve">Playwright spec replaced in effect by tests/test_ops_view.py and EVD-J-04 Chromium run</t>
  </si>
  <si>
    <t xml:space="preserve">Dev lead (UNRESOLVED)</t>
  </si>
  <si>
    <t xml:space="preserve">spec not run with npx (TEVV-R-07)</t>
  </si>
  <si>
    <t xml:space="preserve">A known architectural divergence is documented and unmanaged</t>
  </si>
  <si>
    <t xml:space="preserve">docs/10-architecture/adrs/ADR-0002 supersedes ADR-0001</t>
  </si>
  <si>
    <t xml:space="preserve">F-54</t>
  </si>
  <si>
    <t xml:space="preserve">Data remediation will break the repository's own contract test</t>
  </si>
  <si>
    <t xml:space="preserve">curated layer; fixture immutable; make smoke original assertions kept</t>
  </si>
  <si>
    <t xml:space="preserve">F-55</t>
  </si>
  <si>
    <t xml:space="preserve">scripts/sanity_check.py hard-requires the paths docs/transformation-roadmap.md, docs/domai</t>
  </si>
  <si>
    <t xml:space="preserve">sanity_check required paths preserved</t>
  </si>
  <si>
    <t xml:space="preserve">The incident runbook declares itself *"intentionally incomplete"*</t>
  </si>
  <si>
    <t xml:space="preserve">docs/29-incident-bcdr (13 docs)</t>
  </si>
  <si>
    <t xml:space="preserve">tabletop was one author (TT-1); no on-call exists (GAP-06)</t>
  </si>
  <si>
    <t xml:space="preserve">No business KPI data exists</t>
  </si>
  <si>
    <t xml:space="preserve">baseline KPI proxies frozen (C1); after-KPIs unchanged (O1)</t>
  </si>
  <si>
    <t xml:space="preserve">Business sponsor (UNRESOLVED)</t>
  </si>
  <si>
    <t xml:space="preserve">no business KPI exists; verified monetary benefit nil</t>
  </si>
  <si>
    <t xml:space="preserve">F-58</t>
  </si>
  <si>
    <t xml:space="preserve">ai_invocations.csv also has an orphan shipment reference (REC-0001 row); not in the origin</t>
  </si>
  <si>
    <t xml:space="preserve">F-59</t>
  </si>
  <si>
    <t xml:space="preserve">171 of 351 shipments have actual weight above declared weight (meaning unknown)</t>
  </si>
  <si>
    <t xml:space="preserve">flagged in ETL; DEBT-09</t>
  </si>
  <si>
    <t xml:space="preserve">Business owner (UNRESOLVED)</t>
  </si>
  <si>
    <t xml:space="preserve">approver: NONE; 171 rows actual&gt;declared, meaning unknown</t>
  </si>
  <si>
    <t xml:space="preserve">F-60</t>
  </si>
  <si>
    <t xml:space="preserve">data/README.md claims untrusted text payloads for prompt-injection testing; no free-text f</t>
  </si>
  <si>
    <t xml:space="preserve">data/README.md corrected; tests use constructed payloads</t>
  </si>
  <si>
    <t xml:space="preserve">F-61</t>
  </si>
  <si>
    <t xml:space="preserve">routes.weather_risk holds numeric 1.42 in a categorical field</t>
  </si>
  <si>
    <t xml:space="preserve">ETL enum rule</t>
  </si>
  <si>
    <t xml:space="preserve">F-62</t>
  </si>
  <si>
    <t xml:space="preserve">Every dataset has one malformed key *-BAD1</t>
  </si>
  <si>
    <t xml:space="preserve">Red team: the same 12 attacks against Repo 1.0 and Repo 2.0</t>
  </si>
  <si>
    <t xml:space="preserve">Source: evidence/26-tevv/EVD-L-03-redteam-baseline.json and EVD-L-03-redteam-v2.json. Run by the builder, not an independent team.</t>
  </si>
  <si>
    <t xml:space="preserve">Attack</t>
  </si>
  <si>
    <t xml:space="preserve">Goal</t>
  </si>
  <si>
    <t xml:space="preserve">Repo 1.0 HTTP</t>
  </si>
  <si>
    <t xml:space="preserve">Repo 1.0 result</t>
  </si>
  <si>
    <t xml:space="preserve">Repo 2.0 HTTP</t>
  </si>
  <si>
    <t xml:space="preserve">Repo 2.0 result</t>
  </si>
  <si>
    <t xml:space="preserve">RT-01</t>
  </si>
  <si>
    <t xml:space="preserve">invoke the AI endpoint with no identity</t>
  </si>
  <si>
    <t xml:space="preserve">Succeeded</t>
  </si>
  <si>
    <t xml:space="preserve">Failed</t>
  </si>
  <si>
    <t xml:space="preserve">RT-02</t>
  </si>
  <si>
    <t xml:space="preserve">self-assert an admin role with a header</t>
  </si>
  <si>
    <t xml:space="preserve">RT-03</t>
  </si>
  <si>
    <t xml:space="preserve">use a persona from another domain</t>
  </si>
  <si>
    <t xml:space="preserve">RT-04</t>
  </si>
  <si>
    <t xml:space="preserve">look up a record through a non-key column</t>
  </si>
  <si>
    <t xml:space="preserve">RT-05</t>
  </si>
  <si>
    <t xml:space="preserve">ask for a record that does not exist</t>
  </si>
  <si>
    <t xml:space="preserve">RT-06</t>
  </si>
  <si>
    <t xml:space="preserve">reach the planted colliding key</t>
  </si>
  <si>
    <t xml:space="preserve">RT-07</t>
  </si>
  <si>
    <t xml:space="preserve">get attacker text reflected through the AI output</t>
  </si>
  <si>
    <t xml:space="preserve">RT-08</t>
  </si>
  <si>
    <t xml:space="preserve">get attacker text from a categorical field into the AI output</t>
  </si>
  <si>
    <t xml:space="preserve">RT-09</t>
  </si>
  <si>
    <t xml:space="preserve">find the guardrail switched off</t>
  </si>
  <si>
    <t xml:space="preserve">RT-10</t>
  </si>
  <si>
    <t xml:space="preserve">action a suggestion without any human approval step</t>
  </si>
  <si>
    <t xml:space="preserve">RT-11</t>
  </si>
  <si>
    <t xml:space="preserve">forge a token (alg none, role admin)</t>
  </si>
  <si>
    <t xml:space="preserve">RT-12</t>
  </si>
  <si>
    <t xml:space="preserve">F-46/NFR</t>
  </si>
  <si>
    <t xml:space="preserve">exhaust the AI endpoint without a limit</t>
  </si>
  <si>
    <t xml:space="preserve">Attacks that succeeded</t>
  </si>
  <si>
    <t xml:space="preserve">KPIs K1 to K10: before and after</t>
  </si>
  <si>
    <t xml:space="preserve">Source: docs/34-after-kpis/after-intervention-kpi-sheet.md; evidence/34-after-kpis/EVD-O-01-after-kpis.json. K9 re-run on 2026-10-08. None of this is a business outcome.</t>
  </si>
  <si>
    <t xml:space="preserve">KPI</t>
  </si>
  <si>
    <t xml:space="preserve">Measure</t>
  </si>
  <si>
    <t xml:space="preserve">Baseline</t>
  </si>
  <si>
    <t xml:space="preserve">After</t>
  </si>
  <si>
    <t xml:space="preserve">Equal?</t>
  </si>
  <si>
    <t xml:space="preserve">Reading</t>
  </si>
  <si>
    <t xml:space="preserve">K1</t>
  </si>
  <si>
    <t xml:space="preserve">Latency p50 / p95 / max (ms)</t>
  </si>
  <si>
    <t xml:space="preserve">1667 / 13709 / 14999</t>
  </si>
  <si>
    <t xml:space="preserve">yes</t>
  </si>
  <si>
    <t xml:space="preserve">A column of the static fixture, not a service measurement</t>
  </si>
  <si>
    <t xml:space="preserve">K2</t>
  </si>
  <si>
    <t xml:space="preserve">Cost per event</t>
  </si>
  <si>
    <t xml:space="preserve">2.2451</t>
  </si>
  <si>
    <t xml:space="preserve">Static fixture</t>
  </si>
  <si>
    <t xml:space="preserve">K3</t>
  </si>
  <si>
    <t xml:space="preserve">Severe-event share</t>
  </si>
  <si>
    <t xml:space="preserve">39.6%</t>
  </si>
  <si>
    <t xml:space="preserve">K4</t>
  </si>
  <si>
    <t xml:space="preserve">Correlation completeness (source stream)</t>
  </si>
  <si>
    <t xml:space="preserve">33.6%</t>
  </si>
  <si>
    <t xml:space="preserve">The producer still emits no id (F-42)</t>
  </si>
  <si>
    <t xml:space="preserve">K5</t>
  </si>
  <si>
    <t xml:space="preserve">Declared AI tokens</t>
  </si>
  <si>
    <t xml:space="preserve">904,432</t>
  </si>
  <si>
    <t xml:space="preserve">Declared by the dataset</t>
  </si>
  <si>
    <t xml:space="preserve">K6</t>
  </si>
  <si>
    <t xml:space="preserve">Retries min / mean / max</t>
  </si>
  <si>
    <t xml:space="preserve">51 / 2508.5 / 4995</t>
  </si>
  <si>
    <t xml:space="preserve">K7</t>
  </si>
  <si>
    <t xml:space="preserve">Duplicate keys (raw layer)</t>
  </si>
  <si>
    <t xml:space="preserve">18</t>
  </si>
  <si>
    <t xml:space="preserve">Seeded defects stay in the raw files; quarantined downstream</t>
  </si>
  <si>
    <t xml:space="preserve">K8</t>
  </si>
  <si>
    <t xml:space="preserve">Incomplete rows (raw layer)</t>
  </si>
  <si>
    <t xml:space="preserve">6</t>
  </si>
  <si>
    <t xml:space="preserve">K9</t>
  </si>
  <si>
    <t xml:space="preserve">Tests</t>
  </si>
  <si>
    <t xml:space="preserve">3 of 3 pass (0 collected without httpx)</t>
  </si>
  <si>
    <t xml:space="preserve">181 passed, 7 expected xfail (170 at Stage O)</t>
  </si>
  <si>
    <t xml:space="preserve">Engineering health, not operations</t>
  </si>
  <si>
    <t xml:space="preserve">K10</t>
  </si>
  <si>
    <t xml:space="preserve">Coverage</t>
  </si>
  <si>
    <t xml:space="preserve">45%</t>
  </si>
  <si>
    <t xml:space="preserve">97% (apps and etl)</t>
  </si>
  <si>
    <t xml:space="preserve">Engineering health</t>
  </si>
  <si>
    <t xml:space="preserve">Rubric coverage: sub-dimensions per criterion</t>
  </si>
  <si>
    <t xml:space="preserve">Source: docs/43-rubric-traceability/readiness-assessment.md (counts) and EVD-S-01-coverage-matrix.csv (rows below). Index = (MET + 0.5 x PARTIAL) / sub-dimensions. It measures evidence completeness, not marks.</t>
  </si>
  <si>
    <t xml:space="preserve">Criterion</t>
  </si>
  <si>
    <t xml:space="preserve">Name</t>
  </si>
  <si>
    <t xml:space="preserve">Marks</t>
  </si>
  <si>
    <t xml:space="preserve">MET</t>
  </si>
  <si>
    <t xml:space="preserve">NOT MET</t>
  </si>
  <si>
    <t xml:space="preserve">BLOCKED</t>
  </si>
  <si>
    <t xml:space="preserve">Sub-dimensions</t>
  </si>
  <si>
    <t xml:space="preserve">Coverage index</t>
  </si>
  <si>
    <t xml:space="preserve">As-Is understanding</t>
  </si>
  <si>
    <t xml:space="preserve">Repo 2.0 design</t>
  </si>
  <si>
    <t xml:space="preserve">Governance, risk, security</t>
  </si>
  <si>
    <t xml:space="preserve">PRD and working application</t>
  </si>
  <si>
    <t xml:space="preserve">Presentation and defence</t>
  </si>
  <si>
    <t xml:space="preserve">File-level matrix rows (each row: a sub-dimension, its status, and one file that evidences it)</t>
  </si>
  <si>
    <t xml:space="preserve">Sub-dimension</t>
  </si>
  <si>
    <t xml:space="preserve">Evidence file</t>
  </si>
  <si>
    <t xml:space="preserve">Understanding Repo 1.0</t>
  </si>
  <si>
    <t xml:space="preserve">docs/00-preflight/discovery/system-landscape.md</t>
  </si>
  <si>
    <t xml:space="preserve">c9e01c93ab63e0158e6c2d8055095cf5fadaef9cb9755f927fc02617627bead3</t>
  </si>
  <si>
    <t xml:space="preserve">docs/00-preflight/discovery/security-observability-overview.md</t>
  </si>
  <si>
    <t xml:space="preserve">2a4de67330bd63114e7baf006e29a48538dc895574ae34dae41fd034de1bbb98</t>
  </si>
  <si>
    <t xml:space="preserve">docs/00-preflight/discovery/assumptions-unknowns.md</t>
  </si>
  <si>
    <t xml:space="preserve">c6d6d21ccb0e9f84805b8b48466e1c3f91ca5144f69f1afde3515ce52e1deb13</t>
  </si>
  <si>
    <t xml:space="preserve">docs/00-preflight/discovery/test-overview.md</t>
  </si>
  <si>
    <t xml:space="preserve">8f6427f52af572ae1148000707e5a3037a0f997007f15aaf3aaaa0b21de012fe</t>
  </si>
  <si>
    <t xml:space="preserve">3183093fa1a009c5479a572c026ac4d732cb0234b226424c4e2aff9587aa9c44</t>
  </si>
  <si>
    <t xml:space="preserve">docs/05-current-state/manual-handoffs.md</t>
  </si>
  <si>
    <t xml:space="preserve">3bff471d8b925e062cebdd95b1a1d539fc50488674b25a3b66f4caccd305782e</t>
  </si>
  <si>
    <t xml:space="preserve">docs/05-current-state/brownfield-inventory.md</t>
  </si>
  <si>
    <t xml:space="preserve">be7a4e9b6064139d8ae3b2ac8722846843abc5208983556123515f0ab0115815</t>
  </si>
  <si>
    <t xml:space="preserve">docs/05-current-state/system-landscape.md</t>
  </si>
  <si>
    <t xml:space="preserve">ebaaf6e1ffc7aae411cfd2410f0cf2c9396ff767e342d38b3be843fdbce4d62a</t>
  </si>
  <si>
    <t xml:space="preserve">docs/05-current-state/current-state-summary.md</t>
  </si>
  <si>
    <t xml:space="preserve">af98be49a093cacc8c85a9d6e50631553d06fc225fe3e2d8e613fa266ef7ab8b</t>
  </si>
  <si>
    <t xml:space="preserve">docs/05-current-state/dependency-hotspots.md</t>
  </si>
  <si>
    <t xml:space="preserve">0676ad01ad5346459505e66bb23967bbf5e4e69fcf3b77b08098796049a3cde2</t>
  </si>
  <si>
    <t xml:space="preserve">docs/07-repo-assessment/repo-assessment.md</t>
  </si>
  <si>
    <t xml:space="preserve">0b1f2f8ad6ab41854913dba2a45588ef81cc428eb48946c30cd24a5fbec08b9d</t>
  </si>
  <si>
    <t xml:space="preserve">Identifying gaps and inconsistencies</t>
  </si>
  <si>
    <t xml:space="preserve">evidence/04-baseline-kpis/EVD-C-05-data-profile.json</t>
  </si>
  <si>
    <t xml:space="preserve">Technical debt</t>
  </si>
  <si>
    <t xml:space="preserve">8a0f91a96a938bc28aeaee98d10bbc8e0d78a53938da02041c9d8faf1e16dff0</t>
  </si>
  <si>
    <t xml:space="preserve">docs/07-repo-assessment/legacy-pattern-register.md</t>
  </si>
  <si>
    <t xml:space="preserve">edb42201376a2e648486c82a81e05140801996a44727ddb9d66e4a218fa83e87</t>
  </si>
  <si>
    <t xml:space="preserve">docs/07-repo-assessment/partial-migration-register.md</t>
  </si>
  <si>
    <t xml:space="preserve">894dc4bb561387ca6b65b8c22cc3e879c253afcdadf65acb5981cf4542da79f4</t>
  </si>
  <si>
    <t xml:space="preserve">Risk identification</t>
  </si>
  <si>
    <t xml:space="preserve">docs/00-preflight/discovery/initial-risk-register.md</t>
  </si>
  <si>
    <t xml:space="preserve">f22c36ad03bd6842974df564c2e98bc95a1c003c8944476cac44a026117d2e21</t>
  </si>
  <si>
    <t xml:space="preserve">docs/06-root-cause/evidence-confidence-matrix.md</t>
  </si>
  <si>
    <t xml:space="preserve">36ee9b249afcffbc3619c4c422371f1c75be36e8e5fae408d97a34ab712986d9</t>
  </si>
  <si>
    <t xml:space="preserve">Behavioural baseline</t>
  </si>
  <si>
    <t xml:space="preserve">evidence/07-repo-assessment/EVD-C-02-quickstart-transcript.txt</t>
  </si>
  <si>
    <t xml:space="preserve">evidence/07-repo-assessment/EVD-C-03-junit.xml</t>
  </si>
  <si>
    <t xml:space="preserve">evidence/07-repo-assessment/EVD-C-03-coverage.xml</t>
  </si>
  <si>
    <t xml:space="preserve">evidence/07-repo-assessment/EVD-C-03-transcript.txt</t>
  </si>
  <si>
    <t xml:space="preserve">evidence/07-repo-assessment/EVD-C-08-characterization-junit.xml</t>
  </si>
  <si>
    <t xml:space="preserve">Business problem</t>
  </si>
  <si>
    <t xml:space="preserve">docs/03-problem-value/problem-statement.md</t>
  </si>
  <si>
    <t xml:space="preserve">f580a33f48126b2dd1a853ca7c197f3e6e150601e96f73d6f82b82afe3605544</t>
  </si>
  <si>
    <t xml:space="preserve">docs/01-engagement/engagement-go-no-go.md</t>
  </si>
  <si>
    <t xml:space="preserve">13bfaff9cd0f52c433dc808afa7a787b4a0ec78d031b5a2a4fba06f7403f1cae</t>
  </si>
  <si>
    <t xml:space="preserve">Before/after proof</t>
  </si>
  <si>
    <t xml:space="preserve">evidence/16-repo-validation/EVD-H-10-behaviour-diff.csv</t>
  </si>
  <si>
    <t xml:space="preserve">docs/35-value-leakage/kpi-variance-table.md</t>
  </si>
  <si>
    <t xml:space="preserve">dfe3b390918a9e3f07373702c4416a606c748dd502ecb28ef4907d95e49aa106</t>
  </si>
  <si>
    <t xml:space="preserve">Improved architecture</t>
  </si>
  <si>
    <t xml:space="preserve">docs/10-architecture/target-architecture.md</t>
  </si>
  <si>
    <t xml:space="preserve">0e1d441ad4067f5438fa3097354904ae66f2963b5ad73a55645661aba60abf2e</t>
  </si>
  <si>
    <t xml:space="preserve">docs/10-architecture/adrs/ADR-0002-supersede-0001-partial-modernization.md</t>
  </si>
  <si>
    <t xml:space="preserve">1206a3152b408f7daa856f03bdaf7b656fe5a73ab6ad70d35602d67f415622a0</t>
  </si>
  <si>
    <t xml:space="preserve">docs/10-architecture/adrs/ADR-0003-target-runtime-and-dependencies.md</t>
  </si>
  <si>
    <t xml:space="preserve">944aa4ec55d4b062bd8f3568c02d872a2f833367aea60ec09746ba4f81dabe9b</t>
  </si>
  <si>
    <t xml:space="preserve">docs/10-architecture/adrs/ADR-0004-identity-and-authentication.md</t>
  </si>
  <si>
    <t xml:space="preserve">e4486a7ae1af2411891cb837ab0cb4cbf60061b651a307ae59edddb25d19ebc3</t>
  </si>
  <si>
    <t xml:space="preserve">docs/10-architecture/adrs/ADR-0005-authorisation-policy-as-code.md</t>
  </si>
  <si>
    <t xml:space="preserve">0e8cb35810a4fe4227f00398a2d68f13e4ffc9f4dd15efe11ae00a2a3651a1d5</t>
  </si>
  <si>
    <t xml:space="preserve">docs/10-architecture/adrs/ADR-0006-data-layer-and-quarantine.md</t>
  </si>
  <si>
    <t xml:space="preserve">3391a55d265dd2a0918db91a61b03a0ff9fe9da96f05527316757c309bbebb17</t>
  </si>
  <si>
    <t xml:space="preserve">docs/10-architecture/adrs/ADR-0007-ai-gateway-boundary.md</t>
  </si>
  <si>
    <t xml:space="preserve">6e48c75b58e10398075b0c39c8f90a645c95a53a6d84b03c1416288a46a115ec</t>
  </si>
  <si>
    <t xml:space="preserve">docs/10-architecture/adrs/ADR-0008-audit-and-correlation.md</t>
  </si>
  <si>
    <t xml:space="preserve">b79b95f86b3e9ffda9d04328c407b3ca48a3d8e8736ba9e72fa512372f56ef5f</t>
  </si>
  <si>
    <t xml:space="preserve">docs/10-architecture/adrs/ADR-0009-platform-neutral-deployment.md</t>
  </si>
  <si>
    <t xml:space="preserve">8e92250e0fa79e1ce0e4e2880fc102df3060e551fbd004f3bdd15f678aeedbba</t>
  </si>
  <si>
    <t xml:space="preserve">docs/10-architecture/adrs/ADR-0010-observability.md</t>
  </si>
  <si>
    <t xml:space="preserve">bed0a9089f8dded930fa7578a865e51c4f1a2740dd4763d23afe6d7fa94e94b5</t>
  </si>
  <si>
    <t xml:space="preserve">07-logistics-shipment-fleet-routing-ops/docs/ADR/0001-partial-modernization.md</t>
  </si>
  <si>
    <t xml:space="preserve">03daaa1c3273ce2b27e6a87c86b3f388cbdc9da5e4597353e6d4f99d7dd43ba1</t>
  </si>
  <si>
    <t xml:space="preserve">AI workflow</t>
  </si>
  <si>
    <t xml:space="preserve">docs/19-intelligence/prompt-registry.md</t>
  </si>
  <si>
    <t xml:space="preserve">3125bbcf7629941e9fb9a904c26e7bf9a7a54a87b0ac07798c7da8206d38d50f</t>
  </si>
  <si>
    <t xml:space="preserve">docs/20-application/deterministic-ai-boundary.md</t>
  </si>
  <si>
    <t xml:space="preserve">a9cd8bfd5d8285fbc934e8ff583f79eef6b38cf924bca6e1f22c7c50a878954e</t>
  </si>
  <si>
    <t xml:space="preserve">evidence/15-modernization/EVD-H-07-ai-gateway-results.json</t>
  </si>
  <si>
    <t xml:space="preserve">docs/19-intelligence/quality-latency-cost-results.md</t>
  </si>
  <si>
    <t xml:space="preserve">96027379bb6de316dd55d53b5ca35489a8de32f3001710dacb8fae70422882cf</t>
  </si>
  <si>
    <t xml:space="preserve">Data / evidence design</t>
  </si>
  <si>
    <t xml:space="preserve">docs/11-data-context/data-contracts.md</t>
  </si>
  <si>
    <t xml:space="preserve">78fa0ea4c7e0648be1dd7158466d1484862f792653379f7e369a7782fa5cf921</t>
  </si>
  <si>
    <t xml:space="preserve">docs/21-integration/data-contracts.md</t>
  </si>
  <si>
    <t xml:space="preserve">3f8403da563e66f63c7e00cc0bfda233be2aeb9add01b3c7d41d1ea792193a51</t>
  </si>
  <si>
    <t xml:space="preserve">docs/11-data-context/data-quality-rules.md</t>
  </si>
  <si>
    <t xml:space="preserve">8259d91d6ee24d0b50bfee2c001b41784a9db9cb2890da2390497bd728971485</t>
  </si>
  <si>
    <t xml:space="preserve">docs/11-data-context/provenance-policy.md</t>
  </si>
  <si>
    <t xml:space="preserve">eee09cf8efdb90592ed33946e88d6500d299f1c8fbc0b39ee814ccec2860e766</t>
  </si>
  <si>
    <t xml:space="preserve">semantic-layer/README.md</t>
  </si>
  <si>
    <t xml:space="preserve">b38fc745d2ddfff755cbb7b92fac68b48d47ea2f7c4b6bae45b757a6de406ec2</t>
  </si>
  <si>
    <t xml:space="preserve">semantic-layer/entities.yaml</t>
  </si>
  <si>
    <t xml:space="preserve">3d715cf088893a523d37b75fe8f917e9657f495c621478f61d718ce5f51ef8f3</t>
  </si>
  <si>
    <t xml:space="preserve">semantic-layer/access-semantics.yaml</t>
  </si>
  <si>
    <t xml:space="preserve">5082131647358b428f48d7122b8f043150a768a76b32d90031ce89e1540eef84</t>
  </si>
  <si>
    <t xml:space="preserve">semantic-layer/business-rules.yaml</t>
  </si>
  <si>
    <t xml:space="preserve">e33b1d31d398865207a92903354eebc4ce7b78410eb0125d73543738260e900f</t>
  </si>
  <si>
    <t xml:space="preserve">semantic-layer/ai-context-policy.yaml</t>
  </si>
  <si>
    <t xml:space="preserve">b9e7285d1011e6cdad6b3983b83a28828408fd501dfeeb3b7555ca2a8d7ff214</t>
  </si>
  <si>
    <t xml:space="preserve">Decisioning</t>
  </si>
  <si>
    <t xml:space="preserve">07-logistics-shipment-fleet-routing-ops/policy/opa/access.rego</t>
  </si>
  <si>
    <t xml:space="preserve">b133c752e6d05db6470ffbb6c6c2591b88eb72226f0974784f02e9ddb6d96b82</t>
  </si>
  <si>
    <t xml:space="preserve">07-logistics-shipment-fleet-routing-ops/policy/opa/access_test.rego</t>
  </si>
  <si>
    <t xml:space="preserve">7952431293519c447a5e9a57f8a19740cbbdc98135e617a522c9d5c32cdeca63</t>
  </si>
  <si>
    <t xml:space="preserve">docs/23-human-control/autonomy-matrix.md</t>
  </si>
  <si>
    <t xml:space="preserve">b72434cd88a01d18138efaed4861bacf145d003ae5ae3ba24972f82694448b49</t>
  </si>
  <si>
    <t xml:space="preserve">Controls</t>
  </si>
  <si>
    <t xml:space="preserve">evidence/15-modernization/EVD-H-03-secret-scan.json</t>
  </si>
  <si>
    <t xml:space="preserve">evidence/15-modernization/EVD-H-04-negative-access-tests.txt</t>
  </si>
  <si>
    <t xml:space="preserve">evidence/15-modernization/EVD-H-04-policy-allow-deny-matrix.csv</t>
  </si>
  <si>
    <t xml:space="preserve">evidence/16-repo-validation/EVD-H-09-smoke.txt</t>
  </si>
  <si>
    <t xml:space="preserve">docs/27-hardening/sbom-summary.md</t>
  </si>
  <si>
    <t xml:space="preserve">3516f9766a1da2663b8817f1ab95a14436d1dcc324ad8a969919c118130625d5</t>
  </si>
  <si>
    <t xml:space="preserve">docs/28-resilience/resilience-architecture.md</t>
  </si>
  <si>
    <t xml:space="preserve">06f3e9ef4a9d1a570db27744bd5dd0614453e9ada92a3c15bb4a4907df772782</t>
  </si>
  <si>
    <t xml:space="preserve">docs/28-resilience/ai-disabled-mode.md</t>
  </si>
  <si>
    <t xml:space="preserve">6661f44edfded7dbb285edaf7db3d6dc3f6e8abe9d6113d1aaf60b142c27cb2e</t>
  </si>
  <si>
    <t xml:space="preserve">evidence/28-resilience/EVD-M-03-resilience-tests-after-drills.txt</t>
  </si>
  <si>
    <t xml:space="preserve">Reproducibility</t>
  </si>
  <si>
    <t xml:space="preserve">evidence/15-modernization/EVD-H-02-quickstart-after.txt</t>
  </si>
  <si>
    <t xml:space="preserve">07-logistics-shipment-fleet-routing-ops/Dockerfile</t>
  </si>
  <si>
    <t xml:space="preserve">cb01dde9a937699b72ae3328e812a8a527d5a45cfc1f5de4e82d0d4af7a98481</t>
  </si>
  <si>
    <t xml:space="preserve">Delivery pipeline</t>
  </si>
  <si>
    <t xml:space="preserve">evidence/15-modernization/EVD-H-01-pipeline-run.txt</t>
  </si>
  <si>
    <t xml:space="preserve">docs/16-repo-validation/repo-quality-gate.md</t>
  </si>
  <si>
    <t xml:space="preserve">176ced5405566c24609c0f26284220f011af7ad652a06b68e441a82e50c9e1d6</t>
  </si>
  <si>
    <t xml:space="preserve">Portability</t>
  </si>
  <si>
    <t xml:space="preserve">evidence/40-scale/EVD-Q-01-preregistration.json</t>
  </si>
  <si>
    <t xml:space="preserve">evidence/40-scale/EVD-Q-02-comparison.csv</t>
  </si>
  <si>
    <t xml:space="preserve">Human oversight</t>
  </si>
  <si>
    <t xml:space="preserve">docs/23-human-control/approval-gates.md</t>
  </si>
  <si>
    <t xml:space="preserve">0c377d65e82a03ce1b751f0104f9f2f161d72c94a49907d6e1838d3429864392</t>
  </si>
  <si>
    <t xml:space="preserve">docs/23-human-control/human-control-test-results.md</t>
  </si>
  <si>
    <t xml:space="preserve">b8690608e712597ce34312f45ec4819d0660ac21935de14d037c6cc901a60d83</t>
  </si>
  <si>
    <t xml:space="preserve">Explainability</t>
  </si>
  <si>
    <t xml:space="preserve">docs/19-intelligence/grounding-results.md</t>
  </si>
  <si>
    <t xml:space="preserve">fe47a9175ec81c84e3754cb1c0bede8e902b4e2e10addc62c467f3724afadd09</t>
  </si>
  <si>
    <t xml:space="preserve">docs/31-observability/ai-telemetry-spec.md</t>
  </si>
  <si>
    <t xml:space="preserve">da032038d4cf7922333e1adf9bffa5ccb0e5a7f7fa65fb29cec126db931b10c6</t>
  </si>
  <si>
    <t xml:space="preserve">Auditability</t>
  </si>
  <si>
    <t xml:space="preserve">evidence/15-modernization/EVD-H-08-trace-sample.json</t>
  </si>
  <si>
    <t xml:space="preserve">docs/25-governance/audit-evidence-index.md</t>
  </si>
  <si>
    <t xml:space="preserve">b955248600c2dadf55bc687a3a50ce3be69c35d3830750f1382bff1bdc164e35</t>
  </si>
  <si>
    <t xml:space="preserve">Risk controls</t>
  </si>
  <si>
    <t xml:space="preserve">docs/24-security-privacy/security-control-matrix.md</t>
  </si>
  <si>
    <t xml:space="preserve">40132faa0d3dc86904f18d83d5e0d8c8fefe8cfcedd5582223f8554be94db092</t>
  </si>
  <si>
    <t xml:space="preserve">docs/24-security-privacy/residual-security-risks.md</t>
  </si>
  <si>
    <t xml:space="preserve">f4019e852133fbb5f05db701150dab683253a411c790a839c4c53107cb5fa369</t>
  </si>
  <si>
    <t xml:space="preserve">docs/26-tevv/residual-tevv-risks.md</t>
  </si>
  <si>
    <t xml:space="preserve">a4729cd1dcf1b844aba5ccdfe68883806348c3f614f71faa2e352efb70fe5abf</t>
  </si>
  <si>
    <t xml:space="preserve">Security</t>
  </si>
  <si>
    <t xml:space="preserve">evidence/26-tevv/EVD-L-03-redteam-v2.json</t>
  </si>
  <si>
    <t xml:space="preserve">evidence/26-tevv/EVD-L-03-redteam-baseline.json</t>
  </si>
  <si>
    <t xml:space="preserve">Compliance</t>
  </si>
  <si>
    <t xml:space="preserve">docs/25-governance/compliance-obligations.md</t>
  </si>
  <si>
    <t xml:space="preserve">4a737b679b823d453d80db8283380a0e9e07b5e9de62ab91d3c23949dba3ae61</t>
  </si>
  <si>
    <t xml:space="preserve">docs/25-governance/model-card.md</t>
  </si>
  <si>
    <t xml:space="preserve">8f31e69561272ea62376c18d32002a0425c9a9c4d57e383ddc2b98d57eac2339</t>
  </si>
  <si>
    <t xml:space="preserve">docs/25-governance/system-card.md</t>
  </si>
  <si>
    <t xml:space="preserve">7750a7180a6ea60fc2abc5d999a76664a9ca428d84d66ca3e1e0cd42fbd7b558</t>
  </si>
  <si>
    <t xml:space="preserve">docs/25-governance/evidence-retention-policy.md</t>
  </si>
  <si>
    <t xml:space="preserve">89335f68900a46974a87e9a2e295b3eabccf2bf5f172ca1a50d346339c9ed5bc</t>
  </si>
  <si>
    <t xml:space="preserve">docs/31-observability/slo-sla-definitions.md</t>
  </si>
  <si>
    <t xml:space="preserve">716903096d4def95eb05ff85564272c13d1a2404841044f51197fce51a3843ed</t>
  </si>
  <si>
    <t xml:space="preserve">docs/31-observability/observability-validation.md</t>
  </si>
  <si>
    <t xml:space="preserve">6cb7f4a703daa5f9448f1deef2703402973398b68e958d1a359f210bd31810bb</t>
  </si>
  <si>
    <t xml:space="preserve">Safe AI boundaries</t>
  </si>
  <si>
    <t xml:space="preserve">docs/08-ai-qualification/deterministic-vs-ai-boundaries.md</t>
  </si>
  <si>
    <t xml:space="preserve">d68db4e1c4d65725540ce87c5f8bffac8ee3587c1075958ed49930819256bbda</t>
  </si>
  <si>
    <t xml:space="preserve">docs/24-security-privacy/prompt-injection-controls.md</t>
  </si>
  <si>
    <t xml:space="preserve">b8f170b83c1fc3bac8935e0ec52e507ec2fe3394d154422d56045aed95c64c40</t>
  </si>
  <si>
    <t xml:space="preserve">Change governance</t>
  </si>
  <si>
    <t xml:space="preserve">evidence/14-transformation/EVD-G-04-authorisation-record.txt</t>
  </si>
  <si>
    <t xml:space="preserve">docs/39-continuous-improvement/controlled-change-process.md</t>
  </si>
  <si>
    <t xml:space="preserve">ebd3846262d87fc2f0e9c7d4bf996102f0c6bf240c33d1155d04becc6034dd5c</t>
  </si>
  <si>
    <t xml:space="preserve">.github/CODEOWNERS</t>
  </si>
  <si>
    <t xml:space="preserve">7d15df156f3bb67926e2a9d3b80c4cccc1315e7bd5e9f7457166d203e7c62ac4</t>
  </si>
  <si>
    <t xml:space="preserve">PRD quality</t>
  </si>
  <si>
    <t xml:space="preserve">docs/09-initial-prd/initial-prd.md</t>
  </si>
  <si>
    <t xml:space="preserve">0f720473c87dfbceea910344602f3ba928cca6e33baa7d27b716f62e399408af</t>
  </si>
  <si>
    <t xml:space="preserve">docs/17-implementation-prd/implementation-prd.md</t>
  </si>
  <si>
    <t xml:space="preserve">c6ea0657f75e58f5c926b3c9ea4034ccbd9d793f09c87462588d236b1e0f89f7</t>
  </si>
  <si>
    <t xml:space="preserve">docs/final-prd/final-as-built-prd.md</t>
  </si>
  <si>
    <t xml:space="preserve">47c277c5ada67241abf2f388a1b10e43c687d532dc0a9bdccd4799e633a23b10</t>
  </si>
  <si>
    <t xml:space="preserve">Requirement traceability</t>
  </si>
  <si>
    <t xml:space="preserve">docs/13-traceability/requirements-traceability-matrix.md</t>
  </si>
  <si>
    <t xml:space="preserve">33c1540cf5e9c6eca2ca5193afe8d0c90f0a2b30ab62b6ec37feff89fcd49dca</t>
  </si>
  <si>
    <t xml:space="preserve">evidence/13-traceability/EVD-F-04-finding-coverage-matrix.csv</t>
  </si>
  <si>
    <t xml:space="preserve">docs/final-prd/requirement-disposition-matrix.md</t>
  </si>
  <si>
    <t xml:space="preserve">a7619159ed8df89b36c963fb72e36079335c690a7daab01164b7e9a5ff4d4678</t>
  </si>
  <si>
    <t xml:space="preserve">Functional implementation</t>
  </si>
  <si>
    <t xml:space="preserve">docs/20-application/application-test-summary.md</t>
  </si>
  <si>
    <t xml:space="preserve">ca27f76c7731668495e5306be352b1c8106fff67cdb007e43ca38474d6a13d44</t>
  </si>
  <si>
    <t xml:space="preserve">docs/21-integration/integration-test-results.md</t>
  </si>
  <si>
    <t xml:space="preserve">c612abfaa9cda7dfbac234085b3ecfd4a7745aa6fbc95bf1ab9ad12b6487f9a7</t>
  </si>
  <si>
    <t xml:space="preserve">End-to-end workflow</t>
  </si>
  <si>
    <t xml:space="preserve">Working AI capabilities</t>
  </si>
  <si>
    <t xml:space="preserve">docs/19-intelligence/rag-evaluation-results.md</t>
  </si>
  <si>
    <t xml:space="preserve">e6aaad6711f03c8b319028dc1d420c61519d70e97f8a261f09427f411b807d28</t>
  </si>
  <si>
    <t xml:space="preserve">docs/26-tevv/tevv-results.md</t>
  </si>
  <si>
    <t xml:space="preserve">5c67844f416dd5ef4b6292c7c85b0b7caa243ab02695b2b639494d74093f1060</t>
  </si>
  <si>
    <t xml:space="preserve">docs/19-intelligence/intelligence-release-gate.md</t>
  </si>
  <si>
    <t xml:space="preserve">7abbf9dc972cf23a75f7c442c57ae3b4765f8673d7e70d0848a3650a961ebc7e</t>
  </si>
  <si>
    <t xml:space="preserve">Evidence-driven delivery</t>
  </si>
  <si>
    <t xml:space="preserve">docs/18-delivery/definition-of-done.md</t>
  </si>
  <si>
    <t xml:space="preserve">7a6da85687556ed59c5eb3e1790b72699803b655d8ba5344c29a7d14c23d6d2c</t>
  </si>
  <si>
    <t xml:space="preserve">docs/18-delivery/evidence-checklist.md</t>
  </si>
  <si>
    <t xml:space="preserve">d8d08a5e1122269f622660b3111132bb21723fa7a66aff4b3ff4dc8e9e31c70a</t>
  </si>
  <si>
    <t xml:space="preserve">Storytelling</t>
  </si>
  <si>
    <t xml:space="preserve">docs/42-executive/executive-narrative.md</t>
  </si>
  <si>
    <t xml:space="preserve">2b10115740e5c833ac1fb7c2c83b8c355517f577f2d8cd5df6f56f926ab8c90d</t>
  </si>
  <si>
    <t xml:space="preserve">docs/42-executive/problem-to-value-story.md</t>
  </si>
  <si>
    <t xml:space="preserve">553d4927a47b304bf6f76fd4aae9bb2ad51c22f1163a13417c90e49a0f6b9e22</t>
  </si>
  <si>
    <t xml:space="preserve">Demo quality</t>
  </si>
  <si>
    <t xml:space="preserve">docs/42-executive/demo-day-script.md</t>
  </si>
  <si>
    <t xml:space="preserve">39b94b5382168d2e8d0150d1fc2b368f703c6534b30a9e0537604c839ff1cf2d</t>
  </si>
  <si>
    <t xml:space="preserve">Explaining design choices</t>
  </si>
  <si>
    <t xml:space="preserve">docs/42-executive/architecture-defence.md</t>
  </si>
  <si>
    <t xml:space="preserve">a6ece1c86ff07e36063b873251eba5fe3f53a8d25aa515226c47d88d8ce599dd</t>
  </si>
  <si>
    <t xml:space="preserve">docs/42-executive/ai-decision-defence.md</t>
  </si>
  <si>
    <t xml:space="preserve">0e8a5b6181762cfbee037b9105e0b10f9267f5d73d58f24c0603520f62e9aa0d</t>
  </si>
  <si>
    <t xml:space="preserve">Trade-offs and limitations</t>
  </si>
  <si>
    <t xml:space="preserve">docs/final-prd/known-limitations.md</t>
  </si>
  <si>
    <t xml:space="preserve">a40845b130c038d617aeaef6fb7c62172ec4159517967605adb198b5e105ab18</t>
  </si>
  <si>
    <t xml:space="preserve">docs/42-executive/lessons-learned.md</t>
  </si>
  <si>
    <t xml:space="preserve">4724d80f8a8c7b2b674b70938c145f524317fc18f70bc70f608145496ad51c3f</t>
  </si>
  <si>
    <t xml:space="preserve">2dc0588056838f047b74c9026ed238f825059c9c3c9fd7a4ccad595cfe3557b2</t>
  </si>
  <si>
    <t xml:space="preserve">Answering evaluator questions</t>
  </si>
  <si>
    <t xml:space="preserve">evidence/13-traceability/EVD-F-04b-finding-disposition-final.csv</t>
  </si>
  <si>
    <t xml:space="preserve">evidence/EVIDENCE-INDEX.md</t>
  </si>
  <si>
    <t xml:space="preserve">cd744fa5b570efad24d3b8a2b4165ae695516d4d9d1349631a544d9aba27d551</t>
  </si>
  <si>
    <t xml:space="preserve">Readiness gates G1 to G12</t>
  </si>
  <si>
    <t xml:space="preserve">Source: docs/30-release/go-no-go-criteria.md (fixed before the decision) and docs/42-executive/production-readiness-decision.md; G1 and G9 updated to today. Pilot needs G1-G7; production needs G8-G12 as well.</t>
  </si>
  <si>
    <t xml:space="preserve">Gate</t>
  </si>
  <si>
    <t xml:space="preserve">Mandatory for</t>
  </si>
  <si>
    <t xml:space="preserve">State</t>
  </si>
  <si>
    <t xml:space="preserve">Basis</t>
  </si>
  <si>
    <t xml:space="preserve">G1</t>
  </si>
  <si>
    <t xml:space="preserve">Tests pass, coverage at or above floor</t>
  </si>
  <si>
    <t xml:space="preserve">PASS</t>
  </si>
  <si>
    <t xml:space="preserve">181 passed, 97% (apps and etl); CI green on 3.11 and 3.14</t>
  </si>
  <si>
    <t xml:space="preserve">G2</t>
  </si>
  <si>
    <t xml:space="preserve">Evaluation at thresholds</t>
  </si>
  <si>
    <t xml:space="preserve">PASS (deterministic provider only)</t>
  </si>
  <si>
    <t xml:space="preserve">192 cases, 0 failures; real model untested</t>
  </si>
  <si>
    <t xml:space="preserve">G3</t>
  </si>
  <si>
    <t xml:space="preserve">No original defect re-exploitable</t>
  </si>
  <si>
    <t xml:space="preserve">0 of 12 attacks succeed</t>
  </si>
  <si>
    <t xml:space="preserve">G4</t>
  </si>
  <si>
    <t xml:space="preserve">No known critical or high dependency vulnerability</t>
  </si>
  <si>
    <t xml:space="preserve">pip-audit: 0</t>
  </si>
  <si>
    <t xml:space="preserve">G5</t>
  </si>
  <si>
    <t xml:space="preserve">Audit tamper-evident; reconstruction shown</t>
  </si>
  <si>
    <t xml:space="preserve">PASS (author-run)</t>
  </si>
  <si>
    <t xml:space="preserve">EVD-N-02</t>
  </si>
  <si>
    <t xml:space="preserve">G6</t>
  </si>
  <si>
    <t xml:space="preserve">Backup restore shown</t>
  </si>
  <si>
    <t xml:space="preserve">PASS (repository level)</t>
  </si>
  <si>
    <t xml:space="preserve">EVD-N-03</t>
  </si>
  <si>
    <t xml:space="preserve">G7</t>
  </si>
  <si>
    <t xml:space="preserve">Rollback defined and rehearsed</t>
  </si>
  <si>
    <t xml:space="preserve">Defined; no cutover exists</t>
  </si>
  <si>
    <t xml:space="preserve">G8</t>
  </si>
  <si>
    <t xml:space="preserve">Alerts routed to named humans</t>
  </si>
  <si>
    <t xml:space="preserve">FAIL</t>
  </si>
  <si>
    <t xml:space="preserve">No collector, no recipients</t>
  </si>
  <si>
    <t xml:space="preserve">G9</t>
  </si>
  <si>
    <t xml:space="preserve">Named approver and risk owners</t>
  </si>
  <si>
    <t xml:space="preserve">Operator approves under provisional authority (OQ-05); 0 of 12 risk acceptances signed</t>
  </si>
  <si>
    <t xml:space="preserve">G10</t>
  </si>
  <si>
    <t xml:space="preserve">Platform and identity provider exist</t>
  </si>
  <si>
    <t xml:space="preserve">production</t>
  </si>
  <si>
    <t xml:space="preserve">Platform-neutral by decision (OQ-01); IdP deferred (OQ-07)</t>
  </si>
  <si>
    <t xml:space="preserve">G11</t>
  </si>
  <si>
    <t xml:space="preserve">Independent evidence review</t>
  </si>
  <si>
    <t xml:space="preserve">Builder and grader are the same agent</t>
  </si>
  <si>
    <t xml:space="preserve">G12</t>
  </si>
  <si>
    <t xml:space="preserve">Compliance resolved</t>
  </si>
  <si>
    <t xml:space="preserve">real data</t>
  </si>
  <si>
    <t xml:space="preserve">No regime named (OQ-04); candidate obligations unvalidated</t>
  </si>
  <si>
    <t xml:space="preserve">23 open questions: the operator's decisions (Runbook 04)</t>
  </si>
  <si>
    <t xml:space="preserve">Source: docs/44-decisions/open-questions-register-v2.md; record evidence/44-decisions/EVD-T-01-operator-decision-record.json. One person holds every role, so these are provisional.</t>
  </si>
  <si>
    <t xml:space="preserve">Question</t>
  </si>
  <si>
    <t xml:space="preserve">Subject</t>
  </si>
  <si>
    <t xml:space="preserve">Decision</t>
  </si>
  <si>
    <t xml:space="preserve">What it means now</t>
  </si>
  <si>
    <t xml:space="preserve">OQ-01</t>
  </si>
  <si>
    <t xml:space="preserve">Target platform</t>
  </si>
  <si>
    <t xml:space="preserve">DECIDED</t>
  </si>
  <si>
    <t xml:space="preserve">Stay platform-neutral. No cloud or runtime is named.</t>
  </si>
  <si>
    <t xml:space="preserve">ADR-0009 stands: container image and compose file; IaC stays a non-provisioning stub (M-X2 stays NOT MET, accepted).</t>
  </si>
  <si>
    <t xml:space="preserve">OQ-02</t>
  </si>
  <si>
    <t xml:space="preserve">Model A and Model B</t>
  </si>
  <si>
    <t xml:space="preserve">No model is used. The deterministic provider stays the only provider.</t>
  </si>
  <si>
    <t xml:space="preserve">R4 'Working AI capabilities' stays BLOCKED, now accepted by the operator. The Stage Q builder comparison (Sonnet vs Haiku, same vendor) stays the only portability evidence.</t>
  </si>
  <si>
    <t xml:space="preserve">OQ-03</t>
  </si>
  <si>
    <t xml:space="preserve">Network egress</t>
  </si>
  <si>
    <t xml:space="preserve">No network egress from the application. Build and demo run offline.</t>
  </si>
  <si>
    <t xml:space="preserve">Matches what was built (offline demo, no model call).</t>
  </si>
  <si>
    <t xml:space="preserve">OQ-04</t>
  </si>
  <si>
    <t xml:space="preserve">Regulatory obligations</t>
  </si>
  <si>
    <t xml:space="preserve">No regime is named. The candidate obligations set stays an unvalidated working assumption.</t>
  </si>
  <si>
    <t xml:space="preserve">`docs/25-governance/compliance-obligations.md` stays labelled candidate; RA-01 remains an unsigned risk acceptance.</t>
  </si>
  <si>
    <t xml:space="preserve">OQ-05</t>
  </si>
  <si>
    <t xml:space="preserve">Stakeholders and approvers</t>
  </si>
  <si>
    <t xml:space="preserve">The operator (Dinesh) approves everything as Transformation Lead, under provisional authority. No other named party exists. A CTO review stays recommended.</t>
  </si>
  <si>
    <t xml:space="preserve">Gates stay self-signed and PROVISIONAL. This records the arrangement; it does not make the approvals independent. G9 and GOV-10 stay open.</t>
  </si>
  <si>
    <t xml:space="preserve">OQ-06</t>
  </si>
  <si>
    <t xml:space="preserve">Operator portal in scope</t>
  </si>
  <si>
    <t xml:space="preserve">RATIFIED</t>
  </si>
  <si>
    <t xml:space="preserve">A thin read-only operations view, not an Angular portal. Previously RESOLVED (provisional).</t>
  </si>
  <si>
    <t xml:space="preserve">B-7 resolved by decision.</t>
  </si>
  <si>
    <t xml:space="preserve">OQ-07</t>
  </si>
  <si>
    <t xml:space="preserve">Identity provider</t>
  </si>
  <si>
    <t xml:space="preserve">No provider chosen. HS256 stays an interim scheme, not for production; JWKS stays a fail-closed stub.</t>
  </si>
  <si>
    <t xml:space="preserve">Production identity remains an explicit gap (ADR-0004).</t>
  </si>
  <si>
    <t xml:space="preserve">OQ-08</t>
  </si>
  <si>
    <t xml:space="preserve">Proxy KPIs acceptable</t>
  </si>
  <si>
    <t xml:space="preserve">The labelled proxy KPIs are accepted as the frozen baseline. No real business data exists.</t>
  </si>
  <si>
    <t xml:space="preserve">Stage O comparison is valid only as proxies; the comparability caveat stays in the narrative.</t>
  </si>
  <si>
    <t xml:space="preserve">OQ-09</t>
  </si>
  <si>
    <t xml:space="preserve">Financial data for ROI</t>
  </si>
  <si>
    <t xml:space="preserve">No financial data. The benefit model stays in analyst-hours with sensitivity ranges and no money figure.</t>
  </si>
  <si>
    <t xml:space="preserve">NPV -970 h expected, +5,525 h optimistic, -2,466 h downside stays the statement; verified benefit is nil.</t>
  </si>
  <si>
    <t xml:space="preserve">OQ-10</t>
  </si>
  <si>
    <t xml:space="preserve">Evidence retention</t>
  </si>
  <si>
    <t xml:space="preserve">Evidence stays in the repository, hash-manifested and version-controlled.</t>
  </si>
  <si>
    <t xml:space="preserve">Retention classes stay as written; there is no external append-only audit sink for runtime records.</t>
  </si>
  <si>
    <t xml:space="preserve">OQ-11</t>
  </si>
  <si>
    <t xml:space="preserve">Authorisation to write</t>
  </si>
  <si>
    <t xml:space="preserve">The operator ratifies, in their own name, the write authorisation given as instruction D-009. A CTO ratification stays recommended.</t>
  </si>
  <si>
    <t xml:space="preserve">EVD-G-04 stays unsigned as a document; this decision is recorded in EVD-T-01 and D-016.</t>
  </si>
  <si>
    <t xml:space="preserve">OQ-12</t>
  </si>
  <si>
    <t xml:space="preserve">Time budget</t>
  </si>
  <si>
    <t xml:space="preserve">Demo budget is 10 minutes plus 5 minutes of questions. No engagement deadline was stated.</t>
  </si>
  <si>
    <t xml:space="preserve">The demo script stays at 10+5; the engagement deadline is UNKNOWN [UNK].</t>
  </si>
  <si>
    <t xml:space="preserve">OQ-13</t>
  </si>
  <si>
    <t xml:space="preserve">Discovery folder collision</t>
  </si>
  <si>
    <t xml:space="preserve">The spine path `docs/00-preflight/discovery/` is authoritative.</t>
  </si>
  <si>
    <t xml:space="preserve">D-001 stands.</t>
  </si>
  <si>
    <t xml:space="preserve">OQ-14</t>
  </si>
  <si>
    <t xml:space="preserve">Data remediation location</t>
  </si>
  <si>
    <t xml:space="preserve">A derived curated layer; the fixture in `data/synthetic/` stays immutable.</t>
  </si>
  <si>
    <t xml:space="preserve">ETL, quarantine and the original smoke assertions stand.</t>
  </si>
  <si>
    <t xml:space="preserve">OQ-15</t>
  </si>
  <si>
    <t xml:space="preserve">REC-0001 collision intent</t>
  </si>
  <si>
    <t xml:space="preserve">Handling decided: treat as a defect (lookup logic fixed, bad-key rows quarantined). The data owner's intent is UNKNOWN.</t>
  </si>
  <si>
    <t xml:space="preserve">Implemented; 0 REC-0001 rows in the curated layer.</t>
  </si>
  <si>
    <t xml:space="preserve">OQ-16</t>
  </si>
  <si>
    <t xml:space="preserve">Demo environment</t>
  </si>
  <si>
    <t xml:space="preserve">Local, offline, deterministic provider.</t>
  </si>
  <si>
    <t xml:space="preserve">Matches the rehearsed script. No recorded fallback video exists.</t>
  </si>
  <si>
    <t xml:space="preserve">OQ-17</t>
  </si>
  <si>
    <t xml:space="preserve">Demo format and budget</t>
  </si>
  <si>
    <t xml:space="preserve">10 minutes plus 5 of questions, live and offline. This differs from the register default of 20 plus 10, and the difference is now a recorded decision.</t>
  </si>
  <si>
    <t xml:space="preserve">Q-X5 stays PARTIAL: rehearsal was by the author only, no audience or recording.</t>
  </si>
  <si>
    <t xml:space="preserve">OQ-18</t>
  </si>
  <si>
    <t xml:space="preserve">Agentic AI in scope</t>
  </si>
  <si>
    <t xml:space="preserve">Not in scope. J6 stands as not-applicable.</t>
  </si>
  <si>
    <t xml:space="preserve">B-12 closed by decision; the `ai_agent` persona stays a read-only suggester.</t>
  </si>
  <si>
    <t xml:space="preserve">OQ-19</t>
  </si>
  <si>
    <t xml:space="preserve">Secret history disposition</t>
  </si>
  <si>
    <t xml:space="preserve">Keep history unrewritten; treat the values as compromised; the repository is private. Nothing real exists to revoke: they are workshop placeholders, and none may be reused anywhere.</t>
  </si>
  <si>
    <t xml:space="preserve">GOV-07 decided: private. The 10 history findings stay as recorded.</t>
  </si>
  <si>
    <t xml:space="preserve">OQ-20</t>
  </si>
  <si>
    <t xml:space="preserve">Real deployment or readiness</t>
  </si>
  <si>
    <t xml:space="preserve">Readiness decision only. Nothing is deployed.</t>
  </si>
  <si>
    <t xml:space="preserve">The verdict NO-GO production on real data / CONDITIONAL GO controlled pilot on synthetic data stays the deliverable.</t>
  </si>
  <si>
    <t xml:space="preserve">OQ-21</t>
  </si>
  <si>
    <t xml:space="preserve">Location data constraints</t>
  </si>
  <si>
    <t xml:space="preserve">No limits stated. The minimisation default stays: location fields masked and excluded from prompts and from logs above INFO.</t>
  </si>
  <si>
    <t xml:space="preserve">RA-10 (retention and rights undefined) stays an unsigned acceptance.</t>
  </si>
  <si>
    <t xml:space="preserve">OQ-22</t>
  </si>
  <si>
    <t xml:space="preserve">Clean-repo contract retention</t>
  </si>
  <si>
    <t xml:space="preserve">The original sanity_check assertions stay unchanged.</t>
  </si>
  <si>
    <t xml:space="preserve">H-X10 stands.</t>
  </si>
  <si>
    <t xml:space="preserve">OQ-23</t>
  </si>
  <si>
    <t xml:space="preserve">Team size and skills</t>
  </si>
  <si>
    <t xml:space="preserve">One operator plus the agent; sequential execution.</t>
  </si>
  <si>
    <t xml:space="preserve">Stage ordering stays sequential; no parallel plan is needed.</t>
  </si>
  <si>
    <t xml:space="preserve">Residual risks (none accepted by a named person)</t>
  </si>
  <si>
    <t xml:space="preserve">Source: docs/42-executive/residual-risks.md and docs/25-governance/risk-acceptance-register.md, with the Runbook 04 decisions applied. Owners are roles.</t>
  </si>
  <si>
    <t xml:space="preserve">ID</t>
  </si>
  <si>
    <t xml:space="preserve">Risk</t>
  </si>
  <si>
    <t xml:space="preserve">Severity (agent view)</t>
  </si>
  <si>
    <t xml:space="preserve">Current position</t>
  </si>
  <si>
    <t xml:space="preserve">RA-07 / DEBT-11</t>
  </si>
  <si>
    <t xml:space="preserve">Credential-shaped values remain in git history</t>
  </si>
  <si>
    <t xml:space="preserve">High</t>
  </si>
  <si>
    <t xml:space="preserve">Repository owner + Security</t>
  </si>
  <si>
    <t xml:space="preserve">Repository private; values treated as compromised; history not rewritten (OQ-19)</t>
  </si>
  <si>
    <t xml:space="preserve">RA-01</t>
  </si>
  <si>
    <t xml:space="preserve">Regulatory scope unresolved</t>
  </si>
  <si>
    <t xml:space="preserve">High for real data</t>
  </si>
  <si>
    <t xml:space="preserve">Sponsor + Compliance</t>
  </si>
  <si>
    <t xml:space="preserve">No regime named (OQ-04); pilot on synthetic data only</t>
  </si>
  <si>
    <t xml:space="preserve">RA-06 / TEVV-R-01</t>
  </si>
  <si>
    <t xml:space="preserve">Builder and grader are the same agent; no independent review</t>
  </si>
  <si>
    <t xml:space="preserve">Release approver</t>
  </si>
  <si>
    <t xml:space="preserve">Blocks an unconditional GO; ask 6 to the CTO</t>
  </si>
  <si>
    <t xml:space="preserve">RA-02</t>
  </si>
  <si>
    <t xml:space="preserve">HS256 shared-secret identity; JWKS stub</t>
  </si>
  <si>
    <t xml:space="preserve">High if networked</t>
  </si>
  <si>
    <t xml:space="preserve">Interim scheme kept (OQ-07 deferred)</t>
  </si>
  <si>
    <t xml:space="preserve">RA-09 / TEVV-R-02</t>
  </si>
  <si>
    <t xml:space="preserve">Real model untested; thresholds valid only for the deterministic provider</t>
  </si>
  <si>
    <t xml:space="preserve">High before a model</t>
  </si>
  <si>
    <t xml:space="preserve">AI governance</t>
  </si>
  <si>
    <t xml:space="preserve">No model by decision (OQ-02)</t>
  </si>
  <si>
    <t xml:space="preserve">Stage Q</t>
  </si>
  <si>
    <t xml:space="preserve">Model portability partly shown: safety yes, AI-output fidelity no</t>
  </si>
  <si>
    <t xml:space="preserve">Medium</t>
  </si>
  <si>
    <t xml:space="preserve">8 gaps specified in semantic layer v2.0; not re-tested</t>
  </si>
  <si>
    <t xml:space="preserve">RA-04 / HC-R-01</t>
  </si>
  <si>
    <t xml:space="preserve">No four-eyes: requester can approve their own suggestion</t>
  </si>
  <si>
    <t xml:space="preserve">Product</t>
  </si>
  <si>
    <t xml:space="preserve">Before any action integration</t>
  </si>
  <si>
    <t xml:space="preserve">RA-12 / DEBT-01</t>
  </si>
  <si>
    <t xml:space="preserve">Branch protection not enabled on main</t>
  </si>
  <si>
    <t xml:space="preserve">Repository owner</t>
  </si>
  <si>
    <t xml:space="preserve">GitHub reports the feature needs Pro for a private repository</t>
  </si>
  <si>
    <t xml:space="preserve">DEBT-06 / F-48</t>
  </si>
  <si>
    <t xml:space="preserve">Terraform provisions nothing; image never built</t>
  </si>
  <si>
    <t xml:space="preserve">Platform</t>
  </si>
  <si>
    <t xml:space="preserve">Platform-neutral by decision (OQ-01)</t>
  </si>
  <si>
    <t xml:space="preserve">N-R</t>
  </si>
  <si>
    <t xml:space="preserve">No tracing; collector and alerts never run; no recipients</t>
  </si>
  <si>
    <t xml:space="preserve">SRE</t>
  </si>
  <si>
    <t xml:space="preserve">Before deployment</t>
  </si>
  <si>
    <t xml:space="preserve">DEBT-04</t>
  </si>
  <si>
    <t xml:space="preserve">Audit sink is a local file; deletion of the tip cannot be prevented</t>
  </si>
  <si>
    <t xml:space="preserve">Needs a platform</t>
  </si>
  <si>
    <t xml:space="preserve">DEBT-08 / DEBT-09</t>
  </si>
  <si>
    <t xml:space="preserve">BR-04 violated by 354 of 354 rows; actual above declared weight on 171 rows</t>
  </si>
  <si>
    <t xml:space="preserve">Business owner</t>
  </si>
  <si>
    <t xml:space="preserve">Meaning unknown</t>
  </si>
  <si>
    <t xml:space="preserve">1,992 of 3,000 historical events lack a usable correlation id</t>
  </si>
  <si>
    <t xml:space="preserve">Low (history)</t>
  </si>
  <si>
    <t xml:space="preserve">Data owner</t>
  </si>
  <si>
    <t xml:space="preserve">New requests carry an id</t>
  </si>
  <si>
    <t xml:space="preserve">Value</t>
  </si>
  <si>
    <t xml:space="preserve">No business KPI measurable; NPV negative at fixture volume</t>
  </si>
  <si>
    <t xml:space="preserve">Sponsor</t>
  </si>
  <si>
    <t xml:space="preserve">Measure review time first</t>
  </si>
  <si>
    <t xml:space="preserve">RA-03, 05, 08, 10, 11</t>
  </si>
  <si>
    <t xml:space="preserve">Purpose defaulting; approvals never expire; stale GPS undetectable; retention undefined; in-memory rate limit</t>
  </si>
  <si>
    <t xml:space="preserve">Low to Medium</t>
  </si>
  <si>
    <t xml:space="preserve">See risk-acceptance register</t>
  </si>
  <si>
    <t xml:space="preserve">Delivery journey: 20 stages in six phases</t>
  </si>
  <si>
    <t xml:space="preserve">Stages A to R come from runbook/02-TRANSFORMATION-RUNBOOK.md; S and T are Runbooks 03 and 04. Evidence count = rows in the Evidence Register for that stage letter.</t>
  </si>
  <si>
    <t xml:space="preserve">Commit(s)</t>
  </si>
  <si>
    <t xml:space="preserve">Evidence files</t>
  </si>
  <si>
    <t xml:space="preserve">698e858, f1b7809</t>
  </si>
  <si>
    <t xml:space="preserve">f1b7809</t>
  </si>
  <si>
    <t xml:space="preserve">4c84af1</t>
  </si>
  <si>
    <t xml:space="preserve">I</t>
  </si>
  <si>
    <t xml:space="preserve">Implementation PRD and delivery planning</t>
  </si>
  <si>
    <t xml:space="preserve">217afc5, e13758b, ab37ec8</t>
  </si>
  <si>
    <t xml:space="preserve">c7d94de, 96d5522</t>
  </si>
  <si>
    <t xml:space="preserve">1dcf6e8</t>
  </si>
  <si>
    <t xml:space="preserve">1cde803</t>
  </si>
  <si>
    <t xml:space="preserve">D (v2)</t>
  </si>
  <si>
    <t xml:space="preserve">Semantic layer aligned to semantic-layer-build.txt</t>
  </si>
  <si>
    <t xml:space="preserve">ad230eb</t>
  </si>
  <si>
    <t xml:space="preserve">(in D)</t>
  </si>
  <si>
    <t xml:space="preserve">Semantic layer v2.0: files</t>
  </si>
  <si>
    <t xml:space="preserve">The model-independent definition of the domain. Hashes recorded in evidence/11-data-context/EVD-D-06-semantic-layer-v2-hashes.json.</t>
  </si>
  <si>
    <t xml:space="preserve">File</t>
  </si>
  <si>
    <t xml:space="preserve">Format and role</t>
  </si>
  <si>
    <t xml:space="preserve">Bytes</t>
  </si>
  <si>
    <t xml:space="preserve">Markdown: for people</t>
  </si>
  <si>
    <t xml:space="preserve">semantic-layer/SEMANTIC-COMPLETENESS.md</t>
  </si>
  <si>
    <t xml:space="preserve">YAML: definition</t>
  </si>
  <si>
    <t xml:space="preserve">semantic-layer/api-contract.json</t>
  </si>
  <si>
    <t xml:space="preserve">JSON / JSON Schema</t>
  </si>
  <si>
    <t xml:space="preserve">semantic-layer/domain-knowledge.md</t>
  </si>
  <si>
    <t xml:space="preserve">semantic-layer/enum-violations.md</t>
  </si>
  <si>
    <t xml:space="preserve">semantic-layer/generate.py</t>
  </si>
  <si>
    <t xml:space="preserve">Generator or test</t>
  </si>
  <si>
    <t xml:space="preserve">semantic-layer/generated/semantic-layer.json</t>
  </si>
  <si>
    <t xml:space="preserve">semantic-layer/glossary.md</t>
  </si>
  <si>
    <t xml:space="preserve">semantic-layer/metrics.yaml</t>
  </si>
  <si>
    <t xml:space="preserve">semantic-layer/relationships.yaml</t>
  </si>
  <si>
    <t xml:space="preserve">semantic-layer/schemas/semantic-layer.schema.json</t>
  </si>
  <si>
    <t xml:space="preserve">semantic-layer/status-taxonomy.yaml</t>
  </si>
  <si>
    <t xml:space="preserve">semantic-layer/tests/__init__.py</t>
  </si>
  <si>
    <t xml:space="preserve">semantic-layer/tests/rule_eval.py</t>
  </si>
  <si>
    <t xml:space="preserve">semantic-layer/tests/test_semantic_layer.py</t>
  </si>
  <si>
    <t xml:space="preserve">semantic-layer/workflow-semantics.yaml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</si>
</sst>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C49"/>
      <name val="Arial"/>
      <family val="0"/>
      <charset val="1"/>
    </font>
    <font>
      <sz val="10"/>
      <color rgb="FF1B1B1B"/>
      <name val="Arial"/>
      <family val="0"/>
      <charset val="1"/>
    </font>
    <font>
      <b val="true"/>
      <sz val="12"/>
      <color rgb="FF0B3C49"/>
      <name val="Arial"/>
      <family val="0"/>
      <charset val="1"/>
    </font>
    <font>
      <b val="true"/>
      <sz val="16"/>
      <color rgb="FF0B3C49"/>
      <name val="Arial"/>
      <family val="0"/>
      <charset val="1"/>
    </font>
    <font>
      <i val="true"/>
      <sz val="9"/>
      <color rgb="FF41545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F5FA8"/>
      <name val="Arial"/>
      <family val="0"/>
      <charset val="1"/>
    </font>
    <font>
      <b val="true"/>
      <sz val="11"/>
      <color rgb="FF0B3C4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7A8C"/>
        <bgColor rgb="FF008080"/>
      </patternFill>
    </fill>
    <fill>
      <patternFill patternType="solid">
        <fgColor rgb="FF0B3C49"/>
        <bgColor rgb="FF003300"/>
      </patternFill>
    </fill>
    <fill>
      <patternFill patternType="solid">
        <fgColor rgb="FFEEF1F2"/>
        <bgColor rgb="FFE5F3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D6DA"/>
      </left>
      <right style="thin">
        <color rgb="FFC5D6DA"/>
      </right>
      <top style="thin">
        <color rgb="FFC5D6DA"/>
      </top>
      <bottom style="thin">
        <color rgb="FFC5D6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B3C4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F3EB"/>
          <bgColor rgb="FF000000"/>
        </patternFill>
      </fill>
    </dxf>
    <dxf>
      <fill>
        <patternFill patternType="solid">
          <fgColor rgb="FFFCEBEA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>
          <bgColor rgb="FFE5F3EB"/>
        </patternFill>
      </fill>
    </dxf>
    <dxf>
      <fill>
        <patternFill>
          <bgColor rgb="FFFFF4E0"/>
        </patternFill>
      </fill>
    </dxf>
    <dxf>
      <fill>
        <patternFill>
          <bgColor rgb="FFFCEBEA"/>
        </patternFill>
      </fill>
    </dxf>
    <dxf>
      <fill>
        <patternFill patternType="solid">
          <fgColor rgb="FF1F5F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FFF4E0"/>
      <rgbColor rgb="FFE5F3EB"/>
      <rgbColor rgb="FF660066"/>
      <rgbColor rgb="FFFF8080"/>
      <rgbColor rgb="FF1F5FA8"/>
      <rgbColor rgb="FFC5D6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2"/>
      <rgbColor rgb="FFCCFFCC"/>
      <rgbColor rgb="FFFC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1545A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github.com/dinesh13n/Delta-Team-CaseStudy-Sprint-3/blob/main/evidence/00-preflight/EVD-A-01-baseline-file-manifest.sha256" TargetMode="External"/><Relationship Id="rId2" Type="http://schemas.openxmlformats.org/officeDocument/2006/relationships/hyperlink" Target="https://github.com/dinesh13n/Delta-Team-CaseStudy-Sprint-3/blob/main/evidence/00-preflight/EVD-A-01-delivered-vs-committed.csv" TargetMode="External"/><Relationship Id="rId3" Type="http://schemas.openxmlformats.org/officeDocument/2006/relationships/hyperlink" Target="https://github.com/dinesh13n/Delta-Team-CaseStudy-Sprint-3/blob/main/evidence/00-preflight/EVD-A-01-tag-verification.txt" TargetMode="External"/><Relationship Id="rId4" Type="http://schemas.openxmlformats.org/officeDocument/2006/relationships/hyperlink" Target="https://github.com/dinesh13n/Delta-Team-CaseStudy-Sprint-3/blob/main/evidence/00-preflight/EVD-A-02-spine-tree.txt" TargetMode="External"/><Relationship Id="rId5" Type="http://schemas.openxmlformats.org/officeDocument/2006/relationships/hyperlink" Target="https://github.com/dinesh13n/Delta-Team-CaseStudy-Sprint-3/blob/main/evidence/00-preflight/EVD-A-03-toolchain-snapshot.txt" TargetMode="External"/><Relationship Id="rId6" Type="http://schemas.openxmlformats.org/officeDocument/2006/relationships/hyperlink" Target="https://github.com/dinesh13n/Delta-Team-CaseStudy-Sprint-3/blob/main/evidence/00-preflight/EVD-A-03c-runtime-upgrade-compat.txt" TargetMode="External"/><Relationship Id="rId7" Type="http://schemas.openxmlformats.org/officeDocument/2006/relationships/hyperlink" Target="https://github.com/dinesh13n/Delta-Team-CaseStudy-Sprint-3/blob/main/evidence/00-preflight/EVD-A-03b-windows-host-snapshot.txt" TargetMode="External"/><Relationship Id="rId8" Type="http://schemas.openxmlformats.org/officeDocument/2006/relationships/hyperlink" Target="https://github.com/dinesh13n/Delta-Team-CaseStudy-Sprint-3/blob/main/evidence/00-preflight/EVD-A-03d-windows-host-snapshot-2.txt" TargetMode="External"/><Relationship Id="rId9" Type="http://schemas.openxmlformats.org/officeDocument/2006/relationships/hyperlink" Target="https://github.com/dinesh13n/Delta-Team-CaseStudy-Sprint-3/blob/main/evidence/00-preflight/EVD-A-03e-operator-statement.txt" TargetMode="External"/><Relationship Id="rId10" Type="http://schemas.openxmlformats.org/officeDocument/2006/relationships/hyperlink" Target="https://github.com/dinesh13n/Delta-Team-CaseStudy-Sprint-3/blob/main/evidence/00-preflight/EVD-A-04-repo-tree-annotated.txt" TargetMode="External"/><Relationship Id="rId11" Type="http://schemas.openxmlformats.org/officeDocument/2006/relationships/hyperlink" Target="https://github.com/dinesh13n/Delta-Team-CaseStudy-Sprint-3/blob/main/evidence/00-preflight/EVD-A-04b-data-profile.txt" TargetMode="External"/><Relationship Id="rId12" Type="http://schemas.openxmlformats.org/officeDocument/2006/relationships/hyperlink" Target="https://github.com/dinesh13n/Delta-Team-CaseStudy-Sprint-3/blob/main/evidence/00-preflight/EVD-A-05-confirmation-items.txt" TargetMode="External"/><Relationship Id="rId13" Type="http://schemas.openxmlformats.org/officeDocument/2006/relationships/hyperlink" Target="https://github.com/dinesh13n/Delta-Team-CaseStudy-Sprint-3/blob/main/evidence/00-preflight/EVD-A-06-ai-economics-profile.json" TargetMode="External"/><Relationship Id="rId14" Type="http://schemas.openxmlformats.org/officeDocument/2006/relationships/hyperlink" Target="https://github.com/dinesh13n/Delta-Team-CaseStudy-Sprint-3/blob/main/evidence/00-preflight/EVD-A-07-stage-a-exit-checks.txt" TargetMode="External"/><Relationship Id="rId15" Type="http://schemas.openxmlformats.org/officeDocument/2006/relationships/hyperlink" Target="https://github.com/dinesh13n/Delta-Team-CaseStudy-Sprint-3/blob/main/evidence/00-preflight/EVD-A-04c-correlation-recount.txt" TargetMode="External"/><Relationship Id="rId16" Type="http://schemas.openxmlformats.org/officeDocument/2006/relationships/hyperlink" Target="https://github.com/dinesh13n/Delta-Team-CaseStudy-Sprint-3/blob/main/evidence/01-engagement/EVD-B-01-stage-b-checks.txt" TargetMode="External"/><Relationship Id="rId17" Type="http://schemas.openxmlformats.org/officeDocument/2006/relationships/hyperlink" Target="https://github.com/dinesh13n/Delta-Team-CaseStudy-Sprint-3/blob/main/evidence/04-baseline-kpis/EVD-C-05-data-profile.json" TargetMode="External"/><Relationship Id="rId18" Type="http://schemas.openxmlformats.org/officeDocument/2006/relationships/hyperlink" Target="https://github.com/dinesh13n/Delta-Team-CaseStudy-Sprint-3/blob/main/evidence/04-baseline-kpis/EVD-C-05-profile.py" TargetMode="External"/><Relationship Id="rId19" Type="http://schemas.openxmlformats.org/officeDocument/2006/relationships/hyperlink" Target="https://github.com/dinesh13n/Delta-Team-CaseStudy-Sprint-3/blob/main/evidence/05-current-state/EVD-C-04-flow-to-code-trace.md" TargetMode="External"/><Relationship Id="rId20" Type="http://schemas.openxmlformats.org/officeDocument/2006/relationships/hyperlink" Target="https://github.com/dinesh13n/Delta-Team-CaseStudy-Sprint-3/blob/main/evidence/07-repo-assessment/EVD-C-02-quickstart-transcript.txt" TargetMode="External"/><Relationship Id="rId21" Type="http://schemas.openxmlformats.org/officeDocument/2006/relationships/hyperlink" Target="https://github.com/dinesh13n/Delta-Team-CaseStudy-Sprint-3/blob/main/evidence/07-repo-assessment/EVD-C-03-transcript.txt" TargetMode="External"/><Relationship Id="rId22" Type="http://schemas.openxmlformats.org/officeDocument/2006/relationships/hyperlink" Target="https://github.com/dinesh13n/Delta-Team-CaseStudy-Sprint-3/blob/main/evidence/07-repo-assessment/EVD-C-03-junit.xml" TargetMode="External"/><Relationship Id="rId23" Type="http://schemas.openxmlformats.org/officeDocument/2006/relationships/hyperlink" Target="https://github.com/dinesh13n/Delta-Team-CaseStudy-Sprint-3/blob/main/evidence/07-repo-assessment/EVD-C-03-coverage.xml" TargetMode="External"/><Relationship Id="rId24" Type="http://schemas.openxmlformats.org/officeDocument/2006/relationships/hyperlink" Target="https://github.com/dinesh13n/Delta-Team-CaseStudy-Sprint-3/blob/main/evidence/07-repo-assessment/EVD-C-07-findings-index.json" TargetMode="External"/><Relationship Id="rId25" Type="http://schemas.openxmlformats.org/officeDocument/2006/relationships/hyperlink" Target="https://github.com/dinesh13n/Delta-Team-CaseStudy-Sprint-3/blob/main/evidence/07-repo-assessment/EVD-C-08-characterization-junit.xml" TargetMode="External"/><Relationship Id="rId26" Type="http://schemas.openxmlformats.org/officeDocument/2006/relationships/hyperlink" Target="https://github.com/dinesh13n/Delta-Team-CaseStudy-Sprint-3/blob/main/evidence/07-repo-assessment/EVD-C-09-stage-c-exit-checks.txt" TargetMode="External"/><Relationship Id="rId27" Type="http://schemas.openxmlformats.org/officeDocument/2006/relationships/hyperlink" Target="https://github.com/dinesh13n/Delta-Team-CaseStudy-Sprint-3/blob/main/evidence/08-ai-qualification/EVD-E-04-stage-e-checks.txt" TargetMode="External"/><Relationship Id="rId28" Type="http://schemas.openxmlformats.org/officeDocument/2006/relationships/hyperlink" Target="https://github.com/dinesh13n/Delta-Team-CaseStudy-Sprint-3/blob/main/evidence/09-initial-prd/EVD-E-03-requirement-trace.csv" TargetMode="External"/><Relationship Id="rId29" Type="http://schemas.openxmlformats.org/officeDocument/2006/relationships/hyperlink" Target="https://github.com/dinesh13n/Delta-Team-CaseStudy-Sprint-3/blob/main/evidence/10-architecture/EVD-F-01-adr-index.txt" TargetMode="External"/><Relationship Id="rId30" Type="http://schemas.openxmlformats.org/officeDocument/2006/relationships/hyperlink" Target="https://github.com/dinesh13n/Delta-Team-CaseStudy-Sprint-3/blob/main/evidence/11-data-context/EVD-D-01-field-coverage.csv" TargetMode="External"/><Relationship Id="rId31" Type="http://schemas.openxmlformats.org/officeDocument/2006/relationships/hyperlink" Target="https://github.com/dinesh13n/Delta-Team-CaseStudy-Sprint-3/blob/main/evidence/11-data-context/EVD-D-02-enum-violations.csv" TargetMode="External"/><Relationship Id="rId32" Type="http://schemas.openxmlformats.org/officeDocument/2006/relationships/hyperlink" Target="https://github.com/dinesh13n/Delta-Team-CaseStudy-Sprint-3/blob/main/evidence/11-data-context/EVD-D-03-rule-to-gap-trace.csv" TargetMode="External"/><Relationship Id="rId33" Type="http://schemas.openxmlformats.org/officeDocument/2006/relationships/hyperlink" Target="https://github.com/dinesh13n/Delta-Team-CaseStudy-Sprint-3/blob/main/evidence/11-data-context/EVD-D-04-access-semantics-matrix.csv" TargetMode="External"/><Relationship Id="rId34" Type="http://schemas.openxmlformats.org/officeDocument/2006/relationships/hyperlink" Target="https://github.com/dinesh13n/Delta-Team-CaseStudy-Sprint-3/blob/main/evidence/11-data-context/EVD-D-05-rule-baseline.json" TargetMode="External"/><Relationship Id="rId35" Type="http://schemas.openxmlformats.org/officeDocument/2006/relationships/hyperlink" Target="https://github.com/dinesh13n/Delta-Team-CaseStudy-Sprint-3/blob/main/evidence/11-data-context/EVD-D-05-semantic-layer-junit.xml" TargetMode="External"/><Relationship Id="rId36" Type="http://schemas.openxmlformats.org/officeDocument/2006/relationships/hyperlink" Target="https://github.com/dinesh13n/Delta-Team-CaseStudy-Sprint-3/blob/main/evidence/11-data-context/EVD-D-05-generated-semantic-layer.json" TargetMode="External"/><Relationship Id="rId37" Type="http://schemas.openxmlformats.org/officeDocument/2006/relationships/hyperlink" Target="https://github.com/dinesh13n/Delta-Team-CaseStudy-Sprint-3/blob/main/evidence/11-data-context/EVD-D-06-semantic-v2-junit.xml" TargetMode="External"/><Relationship Id="rId38" Type="http://schemas.openxmlformats.org/officeDocument/2006/relationships/hyperlink" Target="https://github.com/dinesh13n/Delta-Team-CaseStudy-Sprint-3/blob/main/evidence/11-data-context/EVD-D-06-semantic-layer-v2-hashes.json" TargetMode="External"/><Relationship Id="rId39" Type="http://schemas.openxmlformats.org/officeDocument/2006/relationships/hyperlink" Target="https://github.com/dinesh13n/Delta-Team-CaseStudy-Sprint-3/blob/main/evidence/12-specs/EVD-F-03-openapi.yaml" TargetMode="External"/><Relationship Id="rId40" Type="http://schemas.openxmlformats.org/officeDocument/2006/relationships/hyperlink" Target="https://github.com/dinesh13n/Delta-Team-CaseStudy-Sprint-3/blob/main/evidence/12-specs/EVD-F-03-openapi-validation.txt" TargetMode="External"/><Relationship Id="rId41" Type="http://schemas.openxmlformats.org/officeDocument/2006/relationships/hyperlink" Target="https://github.com/dinesh13n/Delta-Team-CaseStudy-Sprint-3/blob/main/evidence/12-specs/EVD-F-03-schema-checks.txt" TargetMode="External"/><Relationship Id="rId42" Type="http://schemas.openxmlformats.org/officeDocument/2006/relationships/hyperlink" Target="https://github.com/dinesh13n/Delta-Team-CaseStudy-Sprint-3/blob/main/evidence/12-specs/EVD-F-03-route-coverage-diff.txt" TargetMode="External"/><Relationship Id="rId43" Type="http://schemas.openxmlformats.org/officeDocument/2006/relationships/hyperlink" Target="https://github.com/dinesh13n/Delta-Team-CaseStudy-Sprint-3/blob/main/evidence/13-traceability/EVD-F-04-finding-coverage-matrix.csv" TargetMode="External"/><Relationship Id="rId44" Type="http://schemas.openxmlformats.org/officeDocument/2006/relationships/hyperlink" Target="https://github.com/dinesh13n/Delta-Team-CaseStudy-Sprint-3/blob/main/evidence/13-traceability/EVD-F-05-stage-f-exit-checks.txt" TargetMode="External"/><Relationship Id="rId45" Type="http://schemas.openxmlformats.org/officeDocument/2006/relationships/hyperlink" Target="https://github.com/dinesh13n/Delta-Team-CaseStudy-Sprint-3/blob/main/evidence/13-traceability/EVD-F-04b-finding-disposition-final.csv" TargetMode="External"/><Relationship Id="rId46" Type="http://schemas.openxmlformats.org/officeDocument/2006/relationships/hyperlink" Target="https://github.com/dinesh13n/Delta-Team-CaseStudy-Sprint-3/blob/main/evidence/14-transformation/EVD-G-01-backlog-finding-coverage.txt" TargetMode="External"/><Relationship Id="rId47" Type="http://schemas.openxmlformats.org/officeDocument/2006/relationships/hyperlink" Target="https://github.com/dinesh13n/Delta-Team-CaseStudy-Sprint-3/blob/main/evidence/14-transformation/EVD-G-04-authorisation-record.txt" TargetMode="External"/><Relationship Id="rId48" Type="http://schemas.openxmlformats.org/officeDocument/2006/relationships/hyperlink" Target="https://github.com/dinesh13n/Delta-Team-CaseStudy-Sprint-3/blob/main/evidence/14-transformation/EVD-G-05-stage-g-exit-checks.txt" TargetMode="External"/><Relationship Id="rId49" Type="http://schemas.openxmlformats.org/officeDocument/2006/relationships/hyperlink" Target="https://github.com/dinesh13n/Delta-Team-CaseStudy-Sprint-3/blob/main/evidence/15-modernization/EVD-H-01-pipeline-run.txt" TargetMode="External"/><Relationship Id="rId50" Type="http://schemas.openxmlformats.org/officeDocument/2006/relationships/hyperlink" Target="https://github.com/dinesh13n/Delta-Team-CaseStudy-Sprint-3/blob/main/evidence/15-modernization/EVD-H-02-quickstart-after.txt" TargetMode="External"/><Relationship Id="rId51" Type="http://schemas.openxmlformats.org/officeDocument/2006/relationships/hyperlink" Target="https://github.com/dinesh13n/Delta-Team-CaseStudy-Sprint-3/blob/main/evidence/15-modernization/EVD-H-03-secret-scan-history.json" TargetMode="External"/><Relationship Id="rId52" Type="http://schemas.openxmlformats.org/officeDocument/2006/relationships/hyperlink" Target="https://github.com/dinesh13n/Delta-Team-CaseStudy-Sprint-3/blob/main/evidence/15-modernization/EVD-H-03-secret-scan.json" TargetMode="External"/><Relationship Id="rId53" Type="http://schemas.openxmlformats.org/officeDocument/2006/relationships/hyperlink" Target="https://github.com/dinesh13n/Delta-Team-CaseStudy-Sprint-3/blob/main/evidence/15-modernization/EVD-H-04-negative-access-tests.txt" TargetMode="External"/><Relationship Id="rId54" Type="http://schemas.openxmlformats.org/officeDocument/2006/relationships/hyperlink" Target="https://github.com/dinesh13n/Delta-Team-CaseStudy-Sprint-3/blob/main/evidence/15-modernization/EVD-H-04-policy-allow-deny-matrix.csv" TargetMode="External"/><Relationship Id="rId55" Type="http://schemas.openxmlformats.org/officeDocument/2006/relationships/hyperlink" Target="https://github.com/dinesh13n/Delta-Team-CaseStudy-Sprint-3/blob/main/evidence/15-modernization/EVD-H-05-behaviour-change.md" TargetMode="External"/><Relationship Id="rId56" Type="http://schemas.openxmlformats.org/officeDocument/2006/relationships/hyperlink" Target="https://github.com/dinesh13n/Delta-Team-CaseStudy-Sprint-3/blob/main/evidence/15-modernization/EVD-H-06-etl-dq-report.json" TargetMode="External"/><Relationship Id="rId57" Type="http://schemas.openxmlformats.org/officeDocument/2006/relationships/hyperlink" Target="https://github.com/dinesh13n/Delta-Team-CaseStudy-Sprint-3/blob/main/evidence/15-modernization/EVD-H-07-ai-gateway-results.json" TargetMode="External"/><Relationship Id="rId58" Type="http://schemas.openxmlformats.org/officeDocument/2006/relationships/hyperlink" Target="https://github.com/dinesh13n/Delta-Team-CaseStudy-Sprint-3/blob/main/evidence/15-modernization/EVD-H-08-trace-sample.json" TargetMode="External"/><Relationship Id="rId59" Type="http://schemas.openxmlformats.org/officeDocument/2006/relationships/hyperlink" Target="https://github.com/dinesh13n/Delta-Team-CaseStudy-Sprint-3/blob/main/evidence/15-modernization/EVD-R-02-ci-run-1-failed.txt" TargetMode="External"/><Relationship Id="rId60" Type="http://schemas.openxmlformats.org/officeDocument/2006/relationships/hyperlink" Target="https://github.com/dinesh13n/Delta-Team-CaseStudy-Sprint-3/blob/main/evidence/15-modernization/EVD-R-01-final-verification.txt" TargetMode="External"/><Relationship Id="rId61" Type="http://schemas.openxmlformats.org/officeDocument/2006/relationships/hyperlink" Target="https://github.com/dinesh13n/Delta-Team-CaseStudy-Sprint-3/blob/main/evidence/15-modernization/EVD-R-02-ci-run-2-green.txt" TargetMode="External"/><Relationship Id="rId62" Type="http://schemas.openxmlformats.org/officeDocument/2006/relationships/hyperlink" Target="https://github.com/dinesh13n/Delta-Team-CaseStudy-Sprint-3/blob/main/evidence/16-repo-validation/EVD-H-09-smoke.txt" TargetMode="External"/><Relationship Id="rId63" Type="http://schemas.openxmlformats.org/officeDocument/2006/relationships/hyperlink" Target="https://github.com/dinesh13n/Delta-Team-CaseStudy-Sprint-3/blob/main/evidence/16-repo-validation/EVD-H-10-behaviour-diff.csv" TargetMode="External"/><Relationship Id="rId64" Type="http://schemas.openxmlformats.org/officeDocument/2006/relationships/hyperlink" Target="https://github.com/dinesh13n/Delta-Team-CaseStudy-Sprint-3/blob/main/evidence/16-repo-validation/EVD-H-11-architecture-imports.txt" TargetMode="External"/><Relationship Id="rId65" Type="http://schemas.openxmlformats.org/officeDocument/2006/relationships/hyperlink" Target="https://github.com/dinesh13n/Delta-Team-CaseStudy-Sprint-3/blob/main/evidence/16-repo-validation/EVD-H-11-dependency-audit.json" TargetMode="External"/><Relationship Id="rId66" Type="http://schemas.openxmlformats.org/officeDocument/2006/relationships/hyperlink" Target="https://github.com/dinesh13n/Delta-Team-CaseStudy-Sprint-3/blob/main/evidence/16-repo-validation/EVD-H-11-pytest-coverage.txt" TargetMode="External"/><Relationship Id="rId67" Type="http://schemas.openxmlformats.org/officeDocument/2006/relationships/hyperlink" Target="https://github.com/dinesh13n/Delta-Team-CaseStudy-Sprint-3/blob/main/evidence/16-repo-validation/EVD-H-11-static-analysis.txt" TargetMode="External"/><Relationship Id="rId68" Type="http://schemas.openxmlformats.org/officeDocument/2006/relationships/hyperlink" Target="https://github.com/dinesh13n/Delta-Team-CaseStudy-Sprint-3/blob/main/evidence/16-repo-validation/EVD-H-11-tg5-tg6.txt" TargetMode="External"/><Relationship Id="rId69" Type="http://schemas.openxmlformats.org/officeDocument/2006/relationships/hyperlink" Target="https://github.com/dinesh13n/Delta-Team-CaseStudy-Sprint-3/blob/main/evidence/19-intelligence/EVD-J-02-dataset-manifest.json" TargetMode="External"/><Relationship Id="rId70" Type="http://schemas.openxmlformats.org/officeDocument/2006/relationships/hyperlink" Target="https://github.com/dinesh13n/Delta-Team-CaseStudy-Sprint-3/blob/main/evidence/19-intelligence/EVD-J-03-eval-run1.json" TargetMode="External"/><Relationship Id="rId71" Type="http://schemas.openxmlformats.org/officeDocument/2006/relationships/hyperlink" Target="https://github.com/dinesh13n/Delta-Team-CaseStudy-Sprint-3/blob/main/evidence/19-intelligence/EVD-J-03-eval-run2-after-remediation.json" TargetMode="External"/><Relationship Id="rId72" Type="http://schemas.openxmlformats.org/officeDocument/2006/relationships/hyperlink" Target="https://github.com/dinesh13n/Delta-Team-CaseStudy-Sprint-3/blob/main/evidence/20-application/EVD-J-04-browser-e2e-script.py.txt" TargetMode="External"/><Relationship Id="rId73" Type="http://schemas.openxmlformats.org/officeDocument/2006/relationships/hyperlink" Target="https://github.com/dinesh13n/Delta-Team-CaseStudy-Sprint-3/blob/main/evidence/20-application/EVD-J-04-browser-e2e.json" TargetMode="External"/><Relationship Id="rId74" Type="http://schemas.openxmlformats.org/officeDocument/2006/relationships/hyperlink" Target="https://github.com/dinesh13n/Delta-Team-CaseStudy-Sprint-3/blob/main/evidence/20-application/EVD-J-04-screenshot-decision.png" TargetMode="External"/><Relationship Id="rId75" Type="http://schemas.openxmlformats.org/officeDocument/2006/relationships/hyperlink" Target="https://github.com/dinesh13n/Delta-Team-CaseStudy-Sprint-3/blob/main/evidence/20-application/EVD-J-04-screenshot-suggestion.png" TargetMode="External"/><Relationship Id="rId76" Type="http://schemas.openxmlformats.org/officeDocument/2006/relationships/hyperlink" Target="https://github.com/dinesh13n/Delta-Team-CaseStudy-Sprint-3/blob/main/evidence/21-integration/EVD-J-05-saga-simulation.json" TargetMode="External"/><Relationship Id="rId77" Type="http://schemas.openxmlformats.org/officeDocument/2006/relationships/hyperlink" Target="https://github.com/dinesh13n/Delta-Team-CaseStudy-Sprint-3/blob/main/evidence/21-integration/EVD-J-05-saga-tests.txt" TargetMode="External"/><Relationship Id="rId78" Type="http://schemas.openxmlformats.org/officeDocument/2006/relationships/hyperlink" Target="https://github.com/dinesh13n/Delta-Team-CaseStudy-Sprint-3/blob/main/evidence/23-human-control/EVD-K-01-human-control-tests.txt" TargetMode="External"/><Relationship Id="rId79" Type="http://schemas.openxmlformats.org/officeDocument/2006/relationships/hyperlink" Target="https://github.com/dinesh13n/Delta-Team-CaseStudy-Sprint-3/blob/main/evidence/24-security-privacy/EVD-K-02-security-suite.txt" TargetMode="External"/><Relationship Id="rId80" Type="http://schemas.openxmlformats.org/officeDocument/2006/relationships/hyperlink" Target="https://github.com/dinesh13n/Delta-Team-CaseStudy-Sprint-3/blob/main/evidence/24-security-privacy/EVD-K-02b-security-suite-after-m1.txt" TargetMode="External"/><Relationship Id="rId81" Type="http://schemas.openxmlformats.org/officeDocument/2006/relationships/hyperlink" Target="https://github.com/dinesh13n/Delta-Team-CaseStudy-Sprint-3/blob/main/evidence/26-tevv/EVD-L-02-final-eval-run.json" TargetMode="External"/><Relationship Id="rId82" Type="http://schemas.openxmlformats.org/officeDocument/2006/relationships/hyperlink" Target="https://github.com/dinesh13n/Delta-Team-CaseStudy-Sprint-3/blob/main/evidence/26-tevv/EVD-L-03-redteam-baseline.json" TargetMode="External"/><Relationship Id="rId83" Type="http://schemas.openxmlformats.org/officeDocument/2006/relationships/hyperlink" Target="https://github.com/dinesh13n/Delta-Team-CaseStudy-Sprint-3/blob/main/evidence/26-tevv/EVD-L-03-redteam-v2.json" TargetMode="External"/><Relationship Id="rId84" Type="http://schemas.openxmlformats.org/officeDocument/2006/relationships/hyperlink" Target="https://github.com/dinesh13n/Delta-Team-CaseStudy-Sprint-3/blob/main/evidence/27-hardening/EVD-M-01-bandit.json" TargetMode="External"/><Relationship Id="rId85" Type="http://schemas.openxmlformats.org/officeDocument/2006/relationships/hyperlink" Target="https://github.com/dinesh13n/Delta-Team-CaseStudy-Sprint-3/blob/main/evidence/27-hardening/EVD-M-01-pip-audit-dev.json" TargetMode="External"/><Relationship Id="rId86" Type="http://schemas.openxmlformats.org/officeDocument/2006/relationships/hyperlink" Target="https://github.com/dinesh13n/Delta-Team-CaseStudy-Sprint-3/blob/main/evidence/27-hardening/EVD-M-01-pip-audit-runtime.json" TargetMode="External"/><Relationship Id="rId87" Type="http://schemas.openxmlformats.org/officeDocument/2006/relationships/hyperlink" Target="https://github.com/dinesh13n/Delta-Team-CaseStudy-Sprint-3/blob/main/evidence/27-hardening/EVD-M-01-sbom-dev.cdx.json" TargetMode="External"/><Relationship Id="rId88" Type="http://schemas.openxmlformats.org/officeDocument/2006/relationships/hyperlink" Target="https://github.com/dinesh13n/Delta-Team-CaseStudy-Sprint-3/blob/main/evidence/27-hardening/EVD-M-01-sbom-runtime.cdx.json" TargetMode="External"/><Relationship Id="rId89" Type="http://schemas.openxmlformats.org/officeDocument/2006/relationships/hyperlink" Target="https://github.com/dinesh13n/Delta-Team-CaseStudy-Sprint-3/blob/main/evidence/28-resilience/EVD-M-02-load-probe.json" TargetMode="External"/><Relationship Id="rId90" Type="http://schemas.openxmlformats.org/officeDocument/2006/relationships/hyperlink" Target="https://github.com/dinesh13n/Delta-Team-CaseStudy-Sprint-3/blob/main/evidence/28-resilience/EVD-M-02-resilience-tests.txt" TargetMode="External"/><Relationship Id="rId91" Type="http://schemas.openxmlformats.org/officeDocument/2006/relationships/hyperlink" Target="https://github.com/dinesh13n/Delta-Team-CaseStudy-Sprint-3/blob/main/evidence/28-resilience/EVD-M-03-drills/drill-1-correlation-ids.json" TargetMode="External"/><Relationship Id="rId92" Type="http://schemas.openxmlformats.org/officeDocument/2006/relationships/hyperlink" Target="https://github.com/dinesh13n/Delta-Team-CaseStudy-Sprint-3/blob/main/evidence/28-resilience/EVD-M-03-drills/drill-2-ai-gateway-timeout.json" TargetMode="External"/><Relationship Id="rId93" Type="http://schemas.openxmlformats.org/officeDocument/2006/relationships/hyperlink" Target="https://github.com/dinesh13n/Delta-Team-CaseStudy-Sprint-3/blob/main/evidence/28-resilience/EVD-M-03-drills/drill-3-duplicate-replay.json" TargetMode="External"/><Relationship Id="rId94" Type="http://schemas.openxmlformats.org/officeDocument/2006/relationships/hyperlink" Target="https://github.com/dinesh13n/Delta-Team-CaseStudy-Sprint-3/blob/main/evidence/28-resilience/EVD-M-03-drills/drill-4-stale-master-data.json" TargetMode="External"/><Relationship Id="rId95" Type="http://schemas.openxmlformats.org/officeDocument/2006/relationships/hyperlink" Target="https://github.com/dinesh13n/Delta-Team-CaseStudy-Sprint-3/blob/main/evidence/28-resilience/EVD-M-03-drills/drill-5-legacy-partial-failure.json" TargetMode="External"/><Relationship Id="rId96" Type="http://schemas.openxmlformats.org/officeDocument/2006/relationships/hyperlink" Target="https://github.com/dinesh13n/Delta-Team-CaseStudy-Sprint-3/blob/main/evidence/28-resilience/EVD-M-03-drills/summary.json" TargetMode="External"/><Relationship Id="rId97" Type="http://schemas.openxmlformats.org/officeDocument/2006/relationships/hyperlink" Target="https://github.com/dinesh13n/Delta-Team-CaseStudy-Sprint-3/blob/main/evidence/28-resilience/EVD-M-03-resilience-tests-after-drills.txt" TargetMode="External"/><Relationship Id="rId98" Type="http://schemas.openxmlformats.org/officeDocument/2006/relationships/hyperlink" Target="https://github.com/dinesh13n/Delta-Team-CaseStudy-Sprint-3/blob/main/evidence/29-incident-bcdr/EVD-M-04-tabletop-simulation.json" TargetMode="External"/><Relationship Id="rId99" Type="http://schemas.openxmlformats.org/officeDocument/2006/relationships/hyperlink" Target="https://github.com/dinesh13n/Delta-Team-CaseStudy-Sprint-3/blob/main/evidence/30-release/EVD-N-03-backup-restore.json" TargetMode="External"/><Relationship Id="rId100" Type="http://schemas.openxmlformats.org/officeDocument/2006/relationships/hyperlink" Target="https://github.com/dinesh13n/Delta-Team-CaseStudy-Sprint-3/blob/main/evidence/31-observability/EVD-N-01-full-suite.txt" TargetMode="External"/><Relationship Id="rId101" Type="http://schemas.openxmlformats.org/officeDocument/2006/relationships/hyperlink" Target="https://github.com/dinesh13n/Delta-Team-CaseStudy-Sprint-3/blob/main/evidence/31-observability/EVD-N-01-observability-validation.json" TargetMode="External"/><Relationship Id="rId102" Type="http://schemas.openxmlformats.org/officeDocument/2006/relationships/hyperlink" Target="https://github.com/dinesh13n/Delta-Team-CaseStudy-Sprint-3/blob/main/evidence/31-observability/EVD-N-01b-full-suite-after-p.txt" TargetMode="External"/><Relationship Id="rId103" Type="http://schemas.openxmlformats.org/officeDocument/2006/relationships/hyperlink" Target="https://github.com/dinesh13n/Delta-Team-CaseStudy-Sprint-3/blob/main/evidence/31-observability/EVD-N-02-reconstruction.json" TargetMode="External"/><Relationship Id="rId104" Type="http://schemas.openxmlformats.org/officeDocument/2006/relationships/hyperlink" Target="https://github.com/dinesh13n/Delta-Team-CaseStudy-Sprint-3/blob/main/evidence/32-finops/EVD-N-04-finops-model.json" TargetMode="External"/><Relationship Id="rId105" Type="http://schemas.openxmlformats.org/officeDocument/2006/relationships/hyperlink" Target="https://github.com/dinesh13n/Delta-Team-CaseStudy-Sprint-3/blob/main/evidence/34-after-kpis/EVD-O-01-after-kpis.json" TargetMode="External"/><Relationship Id="rId106" Type="http://schemas.openxmlformats.org/officeDocument/2006/relationships/hyperlink" Target="https://github.com/dinesh13n/Delta-Team-CaseStudy-Sprint-3/blob/main/evidence/36-benefits/EVD-O-03-benefit-model.json" TargetMode="External"/><Relationship Id="rId107" Type="http://schemas.openxmlformats.org/officeDocument/2006/relationships/hyperlink" Target="https://github.com/dinesh13n/Delta-Team-CaseStudy-Sprint-3/blob/main/evidence/38-handover/EVD-P-02-operator-exercises.json" TargetMode="External"/><Relationship Id="rId108" Type="http://schemas.openxmlformats.org/officeDocument/2006/relationships/hyperlink" Target="https://github.com/dinesh13n/Delta-Team-CaseStudy-Sprint-3/blob/main/evidence/39-continuous-improvement/EVD-P-03-drift-check-clean.json" TargetMode="External"/><Relationship Id="rId109" Type="http://schemas.openxmlformats.org/officeDocument/2006/relationships/hyperlink" Target="https://github.com/dinesh13n/Delta-Team-CaseStudy-Sprint-3/blob/main/evidence/39-continuous-improvement/EVD-P-03-drift-check-drifted.json" TargetMode="External"/><Relationship Id="rId110" Type="http://schemas.openxmlformats.org/officeDocument/2006/relationships/hyperlink" Target="https://github.com/dinesh13n/Delta-Team-CaseStudy-Sprint-3/blob/main/evidence/40-scale/EVD-Q-01-preregistration.json" TargetMode="External"/><Relationship Id="rId111" Type="http://schemas.openxmlformats.org/officeDocument/2006/relationships/hyperlink" Target="https://github.com/dinesh13n/Delta-Team-CaseStudy-Sprint-3/blob/main/evidence/40-scale/EVD-Q-02-comparison.csv" TargetMode="External"/><Relationship Id="rId112" Type="http://schemas.openxmlformats.org/officeDocument/2006/relationships/hyperlink" Target="https://github.com/dinesh13n/Delta-Team-CaseStudy-Sprint-3/blob/main/evidence/40-scale/EVD-Q-04-harness-accept.py" TargetMode="External"/><Relationship Id="rId113" Type="http://schemas.openxmlformats.org/officeDocument/2006/relationships/hyperlink" Target="https://github.com/dinesh13n/Delta-Team-CaseStudy-Sprint-3/blob/main/evidence/40-scale/EVD-Q-04-adapter-a.py" TargetMode="External"/><Relationship Id="rId114" Type="http://schemas.openxmlformats.org/officeDocument/2006/relationships/hyperlink" Target="https://github.com/dinesh13n/Delta-Team-CaseStudy-Sprint-3/blob/main/evidence/40-scale/EVD-Q-04-build-brief.md" TargetMode="External"/><Relationship Id="rId115" Type="http://schemas.openxmlformats.org/officeDocument/2006/relationships/hyperlink" Target="https://github.com/dinesh13n/Delta-Team-CaseStudy-Sprint-3/blob/main/evidence/40-scale/EVD-Q-04-bundle-sha256.txt" TargetMode="External"/><Relationship Id="rId116" Type="http://schemas.openxmlformats.org/officeDocument/2006/relationships/hyperlink" Target="https://github.com/dinesh13n/Delta-Team-CaseStudy-Sprint-3/blob/main/evidence/40-scale/EVD-Q-04-control-A-eval.json" TargetMode="External"/><Relationship Id="rId117" Type="http://schemas.openxmlformats.org/officeDocument/2006/relationships/hyperlink" Target="https://github.com/dinesh13n/Delta-Team-CaseStudy-Sprint-3/blob/main/evidence/40-scale/EVD-Q-04-control-A-http.json" TargetMode="External"/><Relationship Id="rId118" Type="http://schemas.openxmlformats.org/officeDocument/2006/relationships/hyperlink" Target="https://github.com/dinesh13n/Delta-Team-CaseStudy-Sprint-3/blob/main/evidence/40-scale/EVD-Q-04-harness-preregistration.json" TargetMode="External"/><Relationship Id="rId119" Type="http://schemas.openxmlformats.org/officeDocument/2006/relationships/hyperlink" Target="https://github.com/dinesh13n/Delta-Team-CaseStudy-Sprint-3/blob/main/evidence/40-scale/EVD-Q-05-model-b-transcript.jsonl" TargetMode="External"/><Relationship Id="rId120" Type="http://schemas.openxmlformats.org/officeDocument/2006/relationships/hyperlink" Target="https://github.com/dinesh13n/Delta-Team-CaseStudy-Sprint-3/blob/main/evidence/40-scale/EVD-Q-05-model-b-meta.json" TargetMode="External"/><Relationship Id="rId121" Type="http://schemas.openxmlformats.org/officeDocument/2006/relationships/hyperlink" Target="https://github.com/dinesh13n/Delta-Team-CaseStudy-Sprint-3/blob/main/evidence/40-scale/EVD-Q-05-model-b-build.tar.gz" TargetMode="External"/><Relationship Id="rId122" Type="http://schemas.openxmlformats.org/officeDocument/2006/relationships/hyperlink" Target="https://github.com/dinesh13n/Delta-Team-CaseStudy-Sprint-3/blob/main/evidence/40-scale/EVD-Q-05-model-b-notes.md" TargetMode="External"/><Relationship Id="rId123" Type="http://schemas.openxmlformats.org/officeDocument/2006/relationships/hyperlink" Target="https://github.com/dinesh13n/Delta-Team-CaseStudy-Sprint-3/blob/main/evidence/40-scale/EVD-Q-05-model-b-eval.json" TargetMode="External"/><Relationship Id="rId124" Type="http://schemas.openxmlformats.org/officeDocument/2006/relationships/hyperlink" Target="https://github.com/dinesh13n/Delta-Team-CaseStudy-Sprint-3/blob/main/evidence/40-scale/EVD-Q-05-model-b-http.json" TargetMode="External"/><Relationship Id="rId125" Type="http://schemas.openxmlformats.org/officeDocument/2006/relationships/hyperlink" Target="https://github.com/dinesh13n/Delta-Team-CaseStudy-Sprint-3/blob/main/evidence/40-scale/EVD-Q-05-model-b-http-supp-ai_agent.json" TargetMode="External"/><Relationship Id="rId126" Type="http://schemas.openxmlformats.org/officeDocument/2006/relationships/hyperlink" Target="https://github.com/dinesh13n/Delta-Team-CaseStudy-Sprint-3/blob/main/evidence/40-scale/EVD-Q-05-harness-accept-supp.py" TargetMode="External"/><Relationship Id="rId127" Type="http://schemas.openxmlformats.org/officeDocument/2006/relationships/hyperlink" Target="https://github.com/dinesh13n/Delta-Team-CaseStudy-Sprint-3/blob/main/evidence/40-scale/EVD-Q-05-posthoc-recommendation-class.txt" TargetMode="External"/><Relationship Id="rId128" Type="http://schemas.openxmlformats.org/officeDocument/2006/relationships/hyperlink" Target="https://github.com/dinesh13n/Delta-Team-CaseStudy-Sprint-3/blob/main/evidence/40-scale/EVD-Q-05-posthoc-recommendation-class.py" TargetMode="External"/><Relationship Id="rId129" Type="http://schemas.openxmlformats.org/officeDocument/2006/relationships/hyperlink" Target="https://github.com/dinesh13n/Delta-Team-CaseStudy-Sprint-3/blob/main/evidence/40-scale/EVD-Q-05-model-b-prompt.md" TargetMode="External"/><Relationship Id="rId130" Type="http://schemas.openxmlformats.org/officeDocument/2006/relationships/hyperlink" Target="https://github.com/dinesh13n/Delta-Team-CaseStudy-Sprint-3/blob/main/evidence/40-scale/EVD-Q-05-blindness-check.txt" TargetMode="External"/><Relationship Id="rId131" Type="http://schemas.openxmlformats.org/officeDocument/2006/relationships/hyperlink" Target="https://github.com/dinesh13n/Delta-Team-CaseStudy-Sprint-3/blob/main/evidence/40-scale/EVD-Q-06-comparison.csv" TargetMode="External"/><Relationship Id="rId132" Type="http://schemas.openxmlformats.org/officeDocument/2006/relationships/hyperlink" Target="https://github.com/dinesh13n/Delta-Team-CaseStudy-Sprint-3/blob/main/evidence/40-scale/EVD-Q-07-manifest-reverification.json" TargetMode="External"/><Relationship Id="rId133" Type="http://schemas.openxmlformats.org/officeDocument/2006/relationships/hyperlink" Target="https://github.com/dinesh13n/Delta-Team-CaseStudy-Sprint-3/blob/main/evidence/42-executive/EVD-Q-03-demo-rehearsal.txt" TargetMode="External"/><Relationship Id="rId134" Type="http://schemas.openxmlformats.org/officeDocument/2006/relationships/hyperlink" Target="https://github.com/dinesh13n/Delta-Team-CaseStudy-Sprint-3/blob/main/evidence/42-executive/EVD-Q-03-rehearsal-script.sh" TargetMode="External"/><Relationship Id="rId135" Type="http://schemas.openxmlformats.org/officeDocument/2006/relationships/hyperlink" Target="https://github.com/dinesh13n/Delta-Team-CaseStudy-Sprint-3/blob/main/evidence/42-executive/EVD-R-03-manifest-verification.json" TargetMode="External"/><Relationship Id="rId136" Type="http://schemas.openxmlformats.org/officeDocument/2006/relationships/hyperlink" Target="https://github.com/dinesh13n/Delta-Team-CaseStudy-Sprint-3/blob/main/evidence/42-executive/EVD-R-03-verify-manifests.py" TargetMode="External"/><Relationship Id="rId137" Type="http://schemas.openxmlformats.org/officeDocument/2006/relationships/hyperlink" Target="https://github.com/dinesh13n/Delta-Team-CaseStudy-Sprint-3/blob/main/evidence/43-rubric-traceability/EVD-S-01-coverage-matrix.csv" TargetMode="External"/><Relationship Id="rId138" Type="http://schemas.openxmlformats.org/officeDocument/2006/relationships/hyperlink" Target="https://github.com/dinesh13n/Delta-Team-CaseStudy-Sprint-3/blob/main/evidence/43-rubric-traceability/EVD-S-02-finding-rubric-map.csv" TargetMode="External"/><Relationship Id="rId139" Type="http://schemas.openxmlformats.org/officeDocument/2006/relationships/hyperlink" Target="https://github.com/dinesh13n/Delta-Team-CaseStudy-Sprint-3/blob/main/evidence/43-rubric-traceability/EVD-S-01-gen-matrix.py" TargetMode="External"/><Relationship Id="rId140" Type="http://schemas.openxmlformats.org/officeDocument/2006/relationships/hyperlink" Target="https://github.com/dinesh13n/Delta-Team-CaseStudy-Sprint-3/blob/main/evidence/43-rubric-traceability/EVD-S-01-matrix-rows.py" TargetMode="External"/><Relationship Id="rId141" Type="http://schemas.openxmlformats.org/officeDocument/2006/relationships/hyperlink" Target="https://github.com/dinesh13n/Delta-Team-CaseStudy-Sprint-3/blob/main/evidence/43-rubric-traceability/EVD-S-02-gen-blockers-and-map.py" TargetMode="External"/><Relationship Id="rId142" Type="http://schemas.openxmlformats.org/officeDocument/2006/relationships/hyperlink" Target="https://github.com/dinesh13n/Delta-Team-CaseStudy-Sprint-3/blob/main/evidence/43-rubric-traceability/EVD-S-03-finding-evidence-links.csv" TargetMode="External"/><Relationship Id="rId143" Type="http://schemas.openxmlformats.org/officeDocument/2006/relationships/hyperlink" Target="https://github.com/dinesh13n/Delta-Team-CaseStudy-Sprint-3/blob/main/evidence/43-rubric-traceability/EVD-S-04-verification.json" TargetMode="External"/><Relationship Id="rId144" Type="http://schemas.openxmlformats.org/officeDocument/2006/relationships/hyperlink" Target="https://github.com/dinesh13n/Delta-Team-CaseStudy-Sprint-3/blob/main/evidence/43-rubric-traceability/EVD-S-04-verify-r3.py" TargetMode="External"/><Relationship Id="rId145" Type="http://schemas.openxmlformats.org/officeDocument/2006/relationships/hyperlink" Target="https://github.com/dinesh13n/Delta-Team-CaseStudy-Sprint-3/blob/main/evidence/43-rubric-traceability/EVD-S-04-gen-index.py" TargetMode="External"/><Relationship Id="rId146" Type="http://schemas.openxmlformats.org/officeDocument/2006/relationships/hyperlink" Target="https://github.com/dinesh13n/Delta-Team-CaseStudy-Sprint-3/blob/main/evidence/44-decisions/EVD-T-01-operator-decision-record.json" TargetMode="External"/><Relationship Id="rId147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github.com/dinesh13n/Delta-Team-CaseStudy-Sprint-3/blob/main/semantic-layer/README.md" TargetMode="External"/><Relationship Id="rId2" Type="http://schemas.openxmlformats.org/officeDocument/2006/relationships/hyperlink" Target="https://github.com/dinesh13n/Delta-Team-CaseStudy-Sprint-3/blob/main/semantic-layer/SEMANTIC-COMPLETENESS.md" TargetMode="External"/><Relationship Id="rId3" Type="http://schemas.openxmlformats.org/officeDocument/2006/relationships/hyperlink" Target="https://github.com/dinesh13n/Delta-Team-CaseStudy-Sprint-3/blob/main/semantic-layer/access-semantics.yaml" TargetMode="External"/><Relationship Id="rId4" Type="http://schemas.openxmlformats.org/officeDocument/2006/relationships/hyperlink" Target="https://github.com/dinesh13n/Delta-Team-CaseStudy-Sprint-3/blob/main/semantic-layer/ai-context-policy.yaml" TargetMode="External"/><Relationship Id="rId5" Type="http://schemas.openxmlformats.org/officeDocument/2006/relationships/hyperlink" Target="https://github.com/dinesh13n/Delta-Team-CaseStudy-Sprint-3/blob/main/semantic-layer/api-contract.json" TargetMode="External"/><Relationship Id="rId6" Type="http://schemas.openxmlformats.org/officeDocument/2006/relationships/hyperlink" Target="https://github.com/dinesh13n/Delta-Team-CaseStudy-Sprint-3/blob/main/semantic-layer/business-rules.yaml" TargetMode="External"/><Relationship Id="rId7" Type="http://schemas.openxmlformats.org/officeDocument/2006/relationships/hyperlink" Target="https://github.com/dinesh13n/Delta-Team-CaseStudy-Sprint-3/blob/main/semantic-layer/domain-knowledge.md" TargetMode="External"/><Relationship Id="rId8" Type="http://schemas.openxmlformats.org/officeDocument/2006/relationships/hyperlink" Target="https://github.com/dinesh13n/Delta-Team-CaseStudy-Sprint-3/blob/main/semantic-layer/entities.yaml" TargetMode="External"/><Relationship Id="rId9" Type="http://schemas.openxmlformats.org/officeDocument/2006/relationships/hyperlink" Target="https://github.com/dinesh13n/Delta-Team-CaseStudy-Sprint-3/blob/main/semantic-layer/enum-violations.md" TargetMode="External"/><Relationship Id="rId10" Type="http://schemas.openxmlformats.org/officeDocument/2006/relationships/hyperlink" Target="https://github.com/dinesh13n/Delta-Team-CaseStudy-Sprint-3/blob/main/semantic-layer/generate.py" TargetMode="External"/><Relationship Id="rId11" Type="http://schemas.openxmlformats.org/officeDocument/2006/relationships/hyperlink" Target="https://github.com/dinesh13n/Delta-Team-CaseStudy-Sprint-3/blob/main/semantic-layer/generated/semantic-layer.json" TargetMode="External"/><Relationship Id="rId12" Type="http://schemas.openxmlformats.org/officeDocument/2006/relationships/hyperlink" Target="https://github.com/dinesh13n/Delta-Team-CaseStudy-Sprint-3/blob/main/semantic-layer/glossary.md" TargetMode="External"/><Relationship Id="rId13" Type="http://schemas.openxmlformats.org/officeDocument/2006/relationships/hyperlink" Target="https://github.com/dinesh13n/Delta-Team-CaseStudy-Sprint-3/blob/main/semantic-layer/metrics.yaml" TargetMode="External"/><Relationship Id="rId14" Type="http://schemas.openxmlformats.org/officeDocument/2006/relationships/hyperlink" Target="https://github.com/dinesh13n/Delta-Team-CaseStudy-Sprint-3/blob/main/semantic-layer/relationships.yaml" TargetMode="External"/><Relationship Id="rId15" Type="http://schemas.openxmlformats.org/officeDocument/2006/relationships/hyperlink" Target="https://github.com/dinesh13n/Delta-Team-CaseStudy-Sprint-3/blob/main/semantic-layer/schemas/semantic-layer.schema.json" TargetMode="External"/><Relationship Id="rId16" Type="http://schemas.openxmlformats.org/officeDocument/2006/relationships/hyperlink" Target="https://github.com/dinesh13n/Delta-Team-CaseStudy-Sprint-3/blob/main/semantic-layer/status-taxonomy.yaml" TargetMode="External"/><Relationship Id="rId17" Type="http://schemas.openxmlformats.org/officeDocument/2006/relationships/hyperlink" Target="https://github.com/dinesh13n/Delta-Team-CaseStudy-Sprint-3/blob/main/semantic-layer/tests/__init__.py" TargetMode="External"/><Relationship Id="rId18" Type="http://schemas.openxmlformats.org/officeDocument/2006/relationships/hyperlink" Target="https://github.com/dinesh13n/Delta-Team-CaseStudy-Sprint-3/blob/main/semantic-layer/tests/rule_eval.py" TargetMode="External"/><Relationship Id="rId19" Type="http://schemas.openxmlformats.org/officeDocument/2006/relationships/hyperlink" Target="https://github.com/dinesh13n/Delta-Team-CaseStudy-Sprint-3/blob/main/semantic-layer/tests/test_semantic_layer.py" TargetMode="External"/><Relationship Id="rId20" Type="http://schemas.openxmlformats.org/officeDocument/2006/relationships/hyperlink" Target="https://github.com/dinesh13n/Delta-Team-CaseStudy-Sprint-3/blob/main/semantic-layer/workflow-semantics.yaml" TargetMode="External"/><Relationship Id="rId2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22</v>
      </c>
    </row>
    <row r="28" customFormat="false" ht="23.85" hidden="false" customHeight="false" outlineLevel="0" collapsed="false">
      <c r="A2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4" t="s">
        <v>24</v>
      </c>
    </row>
    <row r="2" customFormat="false" ht="15" hidden="false" customHeight="false" outlineLevel="0" collapsed="false">
      <c r="A2" s="5" t="s">
        <v>25</v>
      </c>
    </row>
    <row r="4" customFormat="false" ht="15" hidden="false" customHeight="false" outlineLevel="0" collapsed="false">
      <c r="A4" s="6" t="s">
        <v>26</v>
      </c>
      <c r="B4" s="7"/>
    </row>
    <row r="5" customFormat="false" ht="15" hidden="false" customHeight="false" outlineLevel="0" collapsed="false">
      <c r="A5" s="8" t="s">
        <v>27</v>
      </c>
      <c r="B5" s="9" t="n">
        <f aca="false">COUNTA('Evidence Register'!A4:A149)</f>
        <v>146</v>
      </c>
    </row>
    <row r="6" customFormat="false" ht="15" hidden="false" customHeight="false" outlineLevel="0" collapsed="false">
      <c r="A6" s="8" t="s">
        <v>28</v>
      </c>
      <c r="B6" s="9" t="n">
        <f aca="false">COUNTIF('Evidence Register'!I4:I149,"*R1*")</f>
        <v>30</v>
      </c>
    </row>
    <row r="7" customFormat="false" ht="15" hidden="false" customHeight="false" outlineLevel="0" collapsed="false">
      <c r="A7" s="8" t="s">
        <v>29</v>
      </c>
      <c r="B7" s="9" t="n">
        <f aca="false">COUNTIF('Evidence Register'!I4:I149,"*R2*")</f>
        <v>73</v>
      </c>
    </row>
    <row r="8" customFormat="false" ht="15" hidden="false" customHeight="false" outlineLevel="0" collapsed="false">
      <c r="A8" s="8" t="s">
        <v>30</v>
      </c>
      <c r="B8" s="9" t="n">
        <f aca="false">COUNTIF('Evidence Register'!I4:I149,"*R3*")</f>
        <v>20</v>
      </c>
    </row>
    <row r="9" customFormat="false" ht="15" hidden="false" customHeight="false" outlineLevel="0" collapsed="false">
      <c r="A9" s="8" t="s">
        <v>31</v>
      </c>
      <c r="B9" s="9" t="n">
        <f aca="false">COUNTIF('Evidence Register'!I4:I149,"*R4*")</f>
        <v>20</v>
      </c>
    </row>
    <row r="10" customFormat="false" ht="15" hidden="false" customHeight="false" outlineLevel="0" collapsed="false">
      <c r="A10" s="8" t="s">
        <v>32</v>
      </c>
      <c r="B10" s="9" t="n">
        <f aca="false">COUNTIF('Evidence Register'!I4:I149,"*R5*")</f>
        <v>39</v>
      </c>
    </row>
    <row r="12" customFormat="false" ht="15" hidden="false" customHeight="false" outlineLevel="0" collapsed="false">
      <c r="A12" s="6" t="s">
        <v>33</v>
      </c>
      <c r="B12" s="7"/>
    </row>
    <row r="13" customFormat="false" ht="15" hidden="false" customHeight="false" outlineLevel="0" collapsed="false">
      <c r="A13" s="8" t="s">
        <v>34</v>
      </c>
      <c r="B13" s="9" t="n">
        <f aca="false">COUNTA(Findings!A4:A65)</f>
        <v>62</v>
      </c>
    </row>
    <row r="14" customFormat="false" ht="15" hidden="false" customHeight="false" outlineLevel="0" collapsed="false">
      <c r="A14" s="8" t="s">
        <v>35</v>
      </c>
      <c r="B14" s="9" t="n">
        <f aca="false">COUNTIF(Findings!B4:B65,"S1")</f>
        <v>25</v>
      </c>
    </row>
    <row r="15" customFormat="false" ht="15" hidden="false" customHeight="false" outlineLevel="0" collapsed="false">
      <c r="A15" s="8" t="s">
        <v>36</v>
      </c>
      <c r="B15" s="9" t="n">
        <f aca="false">COUNTIF(Findings!D4:D65,"FIXED")</f>
        <v>43</v>
      </c>
    </row>
    <row r="16" customFormat="false" ht="15" hidden="false" customHeight="false" outlineLevel="0" collapsed="false">
      <c r="A16" s="8" t="s">
        <v>37</v>
      </c>
      <c r="B16" s="9" t="n">
        <f aca="false">COUNTIF(Findings!D4:D65,"FIXED-IN-TREE")</f>
        <v>4</v>
      </c>
    </row>
    <row r="17" customFormat="false" ht="15" hidden="false" customHeight="false" outlineLevel="0" collapsed="false">
      <c r="A17" s="8" t="s">
        <v>38</v>
      </c>
      <c r="B17" s="9" t="n">
        <f aca="false">COUNTIF(Findings!D4:D65,"PARTIAL")</f>
        <v>10</v>
      </c>
    </row>
    <row r="18" customFormat="false" ht="15" hidden="false" customHeight="false" outlineLevel="0" collapsed="false">
      <c r="A18" s="8" t="s">
        <v>39</v>
      </c>
      <c r="B18" s="9" t="n">
        <f aca="false">COUNTIF(Findings!D4:D65,"CHANGED")</f>
        <v>2</v>
      </c>
    </row>
    <row r="19" customFormat="false" ht="15" hidden="false" customHeight="false" outlineLevel="0" collapsed="false">
      <c r="A19" s="8" t="s">
        <v>40</v>
      </c>
      <c r="B19" s="9" t="n">
        <f aca="false">COUNTIF(Findings!D4:D65,"DEFERRED")</f>
        <v>2</v>
      </c>
    </row>
    <row r="20" customFormat="false" ht="15" hidden="false" customHeight="false" outlineLevel="0" collapsed="false">
      <c r="A20" s="8" t="s">
        <v>41</v>
      </c>
      <c r="B20" s="9" t="n">
        <f aca="false">COUNTIF(Findings!D4:D65,"ACCEPTED-PROPOSED")</f>
        <v>1</v>
      </c>
    </row>
    <row r="22" customFormat="false" ht="15" hidden="false" customHeight="false" outlineLevel="0" collapsed="false">
      <c r="A22" s="6" t="s">
        <v>42</v>
      </c>
      <c r="B22" s="7"/>
    </row>
    <row r="23" customFormat="false" ht="15" hidden="false" customHeight="false" outlineLevel="0" collapsed="false">
      <c r="A23" s="8" t="s">
        <v>43</v>
      </c>
      <c r="B23" s="9" t="n">
        <f aca="false">COUNTIF('Red Team'!E4:E15,"Succeeded")</f>
        <v>10</v>
      </c>
    </row>
    <row r="24" customFormat="false" ht="15" hidden="false" customHeight="false" outlineLevel="0" collapsed="false">
      <c r="A24" s="8" t="s">
        <v>44</v>
      </c>
      <c r="B24" s="9" t="n">
        <f aca="false">COUNTIF('Red Team'!G4:G15,"Succeeded")</f>
        <v>0</v>
      </c>
    </row>
    <row r="25" customFormat="false" ht="15" hidden="false" customHeight="false" outlineLevel="0" collapsed="false">
      <c r="A25" s="8" t="s">
        <v>45</v>
      </c>
      <c r="B25" s="9" t="n">
        <f aca="false">COUNTIF('Go-No-Go'!D4:D15,"PASS*")</f>
        <v>6</v>
      </c>
    </row>
    <row r="26" customFormat="false" ht="15" hidden="false" customHeight="false" outlineLevel="0" collapsed="false">
      <c r="A26" s="8" t="s">
        <v>46</v>
      </c>
      <c r="B26" s="9" t="n">
        <f aca="false">COUNTIF('Go-No-Go'!D4:D15,"FAIL*")</f>
        <v>5</v>
      </c>
    </row>
    <row r="27" customFormat="false" ht="15" hidden="false" customHeight="false" outlineLevel="0" collapsed="false">
      <c r="A27" s="8" t="s">
        <v>47</v>
      </c>
      <c r="B27" s="9" t="str">
        <f aca="false">TEXT('File Inventory'!B18,"0")&amp;" → "&amp;TEXT('File Inventory'!C18,"0")</f>
        <v>51 → 158</v>
      </c>
    </row>
    <row r="29" customFormat="false" ht="15" hidden="false" customHeight="false" outlineLevel="0" collapsed="false">
      <c r="A29" s="6" t="s">
        <v>48</v>
      </c>
      <c r="B29" s="7"/>
    </row>
    <row r="30" customFormat="false" ht="15" hidden="false" customHeight="false" outlineLevel="0" collapsed="false">
      <c r="A30" s="8" t="s">
        <v>49</v>
      </c>
      <c r="B30" s="9" t="n">
        <f aca="false">COUNTIF(Decisions!C4:C26,"DECIDED")+COUNTIF(Decisions!C4:C26,"RATIFIED")</f>
        <v>22</v>
      </c>
    </row>
    <row r="31" customFormat="false" ht="15" hidden="false" customHeight="false" outlineLevel="0" collapsed="false">
      <c r="A31" s="8" t="s">
        <v>50</v>
      </c>
      <c r="B31" s="9" t="n">
        <f aca="false">COUNTIF(Decisions!C4:C26,"DEFERRED")</f>
        <v>1</v>
      </c>
    </row>
    <row r="32" customFormat="false" ht="15" hidden="false" customHeight="false" outlineLevel="0" collapsed="false">
      <c r="A32" s="8" t="s">
        <v>51</v>
      </c>
      <c r="B32" s="9" t="n">
        <f aca="false">'Rubric Coverage'!H9</f>
        <v>36</v>
      </c>
    </row>
    <row r="33" customFormat="false" ht="15" hidden="false" customHeight="false" outlineLevel="0" collapsed="false">
      <c r="A33" s="8" t="s">
        <v>52</v>
      </c>
      <c r="B33" s="9" t="n">
        <f aca="false">'Rubric Coverage'!D9</f>
        <v>24</v>
      </c>
    </row>
    <row r="34" customFormat="false" ht="15" hidden="false" customHeight="false" outlineLevel="0" collapsed="false">
      <c r="A34" s="8" t="s">
        <v>53</v>
      </c>
      <c r="B34" s="9" t="n">
        <f aca="false">'Rubric Coverage'!F9+'Rubric Coverage'!G9</f>
        <v>3</v>
      </c>
    </row>
    <row r="35" customFormat="false" ht="15" hidden="false" customHeight="false" outlineLevel="0" collapsed="false">
      <c r="A35" s="8" t="s">
        <v>54</v>
      </c>
      <c r="B35" s="9" t="n">
        <v>0</v>
      </c>
      <c r="C35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0" t="s">
        <v>56</v>
      </c>
    </row>
    <row r="2" customFormat="false" ht="15" hidden="false" customHeight="false" outlineLevel="0" collapsed="false">
      <c r="A2" s="5" t="s">
        <v>57</v>
      </c>
    </row>
    <row r="3" customFormat="false" ht="30" hidden="false" customHeight="true" outlineLevel="0" collapsed="false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33</v>
      </c>
      <c r="F3" s="11" t="s">
        <v>26</v>
      </c>
    </row>
    <row r="4" customFormat="false" ht="35.05" hidden="false" customHeight="false" outlineLevel="0" collapsed="false">
      <c r="A4" s="12" t="s">
        <v>62</v>
      </c>
      <c r="B4" s="12" t="s">
        <v>63</v>
      </c>
      <c r="C4" s="12" t="s">
        <v>64</v>
      </c>
      <c r="D4" s="12" t="s">
        <v>65</v>
      </c>
      <c r="E4" s="12" t="s">
        <v>66</v>
      </c>
      <c r="F4" s="12" t="s">
        <v>67</v>
      </c>
    </row>
    <row r="5" customFormat="false" ht="23.85" hidden="false" customHeight="false" outlineLevel="0" collapsed="false">
      <c r="A5" s="12" t="s">
        <v>68</v>
      </c>
      <c r="B5" s="12" t="s">
        <v>69</v>
      </c>
      <c r="C5" s="12" t="s">
        <v>70</v>
      </c>
      <c r="D5" s="12" t="s">
        <v>65</v>
      </c>
      <c r="E5" s="12" t="s">
        <v>71</v>
      </c>
      <c r="F5" s="12" t="s">
        <v>72</v>
      </c>
    </row>
    <row r="6" customFormat="false" ht="23.85" hidden="false" customHeight="false" outlineLevel="0" collapsed="false">
      <c r="A6" s="12" t="s">
        <v>73</v>
      </c>
      <c r="B6" s="12" t="s">
        <v>74</v>
      </c>
      <c r="C6" s="12" t="s">
        <v>75</v>
      </c>
      <c r="D6" s="12" t="s">
        <v>65</v>
      </c>
      <c r="E6" s="12" t="s">
        <v>76</v>
      </c>
      <c r="F6" s="12" t="s">
        <v>77</v>
      </c>
    </row>
    <row r="7" customFormat="false" ht="23.85" hidden="false" customHeight="false" outlineLevel="0" collapsed="false">
      <c r="A7" s="12" t="s">
        <v>78</v>
      </c>
      <c r="B7" s="12" t="s">
        <v>79</v>
      </c>
      <c r="C7" s="12" t="s">
        <v>80</v>
      </c>
      <c r="D7" s="12" t="s">
        <v>81</v>
      </c>
      <c r="E7" s="12" t="s">
        <v>82</v>
      </c>
      <c r="F7" s="12" t="s">
        <v>83</v>
      </c>
    </row>
    <row r="8" customFormat="false" ht="35.05" hidden="false" customHeight="false" outlineLevel="0" collapsed="false">
      <c r="A8" s="12" t="s">
        <v>84</v>
      </c>
      <c r="B8" s="12" t="s">
        <v>85</v>
      </c>
      <c r="C8" s="12" t="s">
        <v>86</v>
      </c>
      <c r="D8" s="12" t="s">
        <v>87</v>
      </c>
      <c r="E8" s="12" t="s">
        <v>88</v>
      </c>
      <c r="F8" s="12" t="s">
        <v>89</v>
      </c>
    </row>
    <row r="9" customFormat="false" ht="23.85" hidden="false" customHeight="false" outlineLevel="0" collapsed="false">
      <c r="A9" s="12" t="s">
        <v>90</v>
      </c>
      <c r="B9" s="12" t="s">
        <v>91</v>
      </c>
      <c r="C9" s="12" t="s">
        <v>92</v>
      </c>
      <c r="D9" s="12" t="s">
        <v>65</v>
      </c>
      <c r="E9" s="12" t="s">
        <v>93</v>
      </c>
      <c r="F9" s="12" t="s">
        <v>94</v>
      </c>
    </row>
    <row r="10" customFormat="false" ht="35.05" hidden="false" customHeight="false" outlineLevel="0" collapsed="false">
      <c r="A10" s="12" t="s">
        <v>95</v>
      </c>
      <c r="B10" s="12" t="s">
        <v>96</v>
      </c>
      <c r="C10" s="12" t="s">
        <v>97</v>
      </c>
      <c r="D10" s="12" t="s">
        <v>98</v>
      </c>
      <c r="E10" s="12" t="s">
        <v>99</v>
      </c>
      <c r="F10" s="12" t="s">
        <v>100</v>
      </c>
    </row>
    <row r="11" customFormat="false" ht="23.85" hidden="false" customHeight="false" outlineLevel="0" collapsed="false">
      <c r="A11" s="12" t="s">
        <v>101</v>
      </c>
      <c r="B11" s="12" t="s">
        <v>102</v>
      </c>
      <c r="C11" s="12" t="s">
        <v>103</v>
      </c>
      <c r="D11" s="12" t="s">
        <v>104</v>
      </c>
      <c r="E11" s="12" t="s">
        <v>105</v>
      </c>
      <c r="F11" s="12" t="s">
        <v>106</v>
      </c>
    </row>
    <row r="12" customFormat="false" ht="23.85" hidden="false" customHeight="false" outlineLevel="0" collapsed="false">
      <c r="A12" s="12" t="s">
        <v>107</v>
      </c>
      <c r="B12" s="12" t="s">
        <v>108</v>
      </c>
      <c r="C12" s="12" t="s">
        <v>109</v>
      </c>
      <c r="D12" s="12" t="s">
        <v>110</v>
      </c>
      <c r="E12" s="12" t="s">
        <v>111</v>
      </c>
      <c r="F12" s="12" t="s">
        <v>112</v>
      </c>
    </row>
    <row r="13" customFormat="false" ht="23.85" hidden="false" customHeight="false" outlineLevel="0" collapsed="false">
      <c r="A13" s="12" t="s">
        <v>113</v>
      </c>
      <c r="B13" s="12" t="s">
        <v>114</v>
      </c>
      <c r="C13" s="12" t="s">
        <v>115</v>
      </c>
      <c r="D13" s="12" t="s">
        <v>110</v>
      </c>
      <c r="E13" s="12" t="s">
        <v>116</v>
      </c>
      <c r="F13" s="12" t="s">
        <v>117</v>
      </c>
    </row>
    <row r="14" customFormat="false" ht="23.85" hidden="false" customHeight="false" outlineLevel="0" collapsed="false">
      <c r="A14" s="12" t="s">
        <v>118</v>
      </c>
      <c r="B14" s="12" t="s">
        <v>119</v>
      </c>
      <c r="C14" s="12" t="s">
        <v>120</v>
      </c>
      <c r="D14" s="12" t="s">
        <v>65</v>
      </c>
      <c r="E14" s="12" t="s">
        <v>121</v>
      </c>
      <c r="F14" s="12" t="s">
        <v>122</v>
      </c>
    </row>
    <row r="15" customFormat="false" ht="23.85" hidden="false" customHeight="false" outlineLevel="0" collapsed="false">
      <c r="A15" s="12" t="s">
        <v>123</v>
      </c>
      <c r="B15" s="12" t="s">
        <v>102</v>
      </c>
      <c r="C15" s="12" t="s">
        <v>124</v>
      </c>
      <c r="D15" s="12" t="s">
        <v>65</v>
      </c>
      <c r="E15" s="12" t="s">
        <v>125</v>
      </c>
      <c r="F15" s="12" t="s">
        <v>126</v>
      </c>
    </row>
    <row r="16" customFormat="false" ht="23.85" hidden="false" customHeight="false" outlineLevel="0" collapsed="false">
      <c r="A16" s="12" t="s">
        <v>127</v>
      </c>
      <c r="B16" s="12" t="s">
        <v>128</v>
      </c>
      <c r="C16" s="12" t="s">
        <v>129</v>
      </c>
      <c r="D16" s="12" t="s">
        <v>110</v>
      </c>
      <c r="E16" s="12" t="s">
        <v>130</v>
      </c>
      <c r="F16" s="12" t="s">
        <v>131</v>
      </c>
    </row>
    <row r="17" customFormat="false" ht="35.05" hidden="false" customHeight="false" outlineLevel="0" collapsed="false">
      <c r="A17" s="12" t="s">
        <v>132</v>
      </c>
      <c r="B17" s="12" t="s">
        <v>133</v>
      </c>
      <c r="C17" s="12" t="s">
        <v>134</v>
      </c>
      <c r="D17" s="12" t="s">
        <v>110</v>
      </c>
      <c r="E17" s="12" t="s">
        <v>135</v>
      </c>
      <c r="F17" s="12" t="s">
        <v>136</v>
      </c>
    </row>
    <row r="18" customFormat="false" ht="23.85" hidden="false" customHeight="false" outlineLevel="0" collapsed="false">
      <c r="A18" s="12" t="s">
        <v>137</v>
      </c>
      <c r="B18" s="12" t="s">
        <v>138</v>
      </c>
      <c r="C18" s="12" t="s">
        <v>139</v>
      </c>
      <c r="D18" s="12" t="s">
        <v>140</v>
      </c>
      <c r="E18" s="12" t="s">
        <v>141</v>
      </c>
      <c r="F18" s="12" t="s">
        <v>142</v>
      </c>
    </row>
    <row r="19" customFormat="false" ht="23.85" hidden="false" customHeight="false" outlineLevel="0" collapsed="false">
      <c r="A19" s="12" t="s">
        <v>143</v>
      </c>
      <c r="B19" s="12" t="s">
        <v>144</v>
      </c>
      <c r="C19" s="12" t="s">
        <v>145</v>
      </c>
      <c r="D19" s="12" t="s">
        <v>146</v>
      </c>
      <c r="E19" s="12" t="s">
        <v>147</v>
      </c>
      <c r="F19" s="12" t="s">
        <v>148</v>
      </c>
    </row>
    <row r="20" customFormat="false" ht="23.85" hidden="false" customHeight="false" outlineLevel="0" collapsed="false">
      <c r="A20" s="12" t="s">
        <v>149</v>
      </c>
      <c r="B20" s="12" t="s">
        <v>150</v>
      </c>
      <c r="C20" s="12" t="s">
        <v>151</v>
      </c>
      <c r="D20" s="12" t="s">
        <v>152</v>
      </c>
      <c r="E20" s="12" t="s">
        <v>153</v>
      </c>
      <c r="F20" s="12" t="s">
        <v>154</v>
      </c>
    </row>
    <row r="21" customFormat="false" ht="15" hidden="false" customHeight="false" outlineLevel="0" collapsed="false">
      <c r="A21" s="12" t="s">
        <v>155</v>
      </c>
      <c r="B21" s="12" t="s">
        <v>156</v>
      </c>
      <c r="C21" s="12" t="s">
        <v>157</v>
      </c>
      <c r="D21" s="12" t="s">
        <v>158</v>
      </c>
      <c r="E21" s="12" t="s">
        <v>159</v>
      </c>
      <c r="F21" s="12" t="s">
        <v>160</v>
      </c>
    </row>
    <row r="22" customFormat="false" ht="23.85" hidden="false" customHeight="false" outlineLevel="0" collapsed="false">
      <c r="A22" s="12" t="s">
        <v>161</v>
      </c>
      <c r="B22" s="12" t="s">
        <v>162</v>
      </c>
      <c r="C22" s="12" t="s">
        <v>163</v>
      </c>
      <c r="D22" s="12" t="s">
        <v>110</v>
      </c>
      <c r="E22" s="12" t="s">
        <v>164</v>
      </c>
      <c r="F22" s="12" t="s">
        <v>72</v>
      </c>
    </row>
    <row r="23" customFormat="false" ht="15" hidden="false" customHeight="false" outlineLevel="0" collapsed="false">
      <c r="A23" s="12" t="s">
        <v>165</v>
      </c>
      <c r="B23" s="12" t="s">
        <v>166</v>
      </c>
      <c r="C23" s="12" t="s">
        <v>167</v>
      </c>
      <c r="D23" s="12" t="s">
        <v>146</v>
      </c>
      <c r="E23" s="12" t="s">
        <v>168</v>
      </c>
      <c r="F23" s="12" t="s">
        <v>169</v>
      </c>
    </row>
  </sheetData>
  <autoFilter ref="A3:F23"/>
  <conditionalFormatting sqref="D4:D23">
    <cfRule type="expression" priority="2" aboveAverage="0" equalAverage="0" bottom="0" percent="0" rank="0" text="" dxfId="6">
      <formula>LEFT(D4,5)="FIXED"</formula>
    </cfRule>
    <cfRule type="expression" priority="3" aboveAverage="0" equalAverage="0" bottom="0" percent="0" rank="0" text="" dxfId="6">
      <formula>LEFT(D4,4)="PASS"</formula>
    </cfRule>
    <cfRule type="expression" priority="4" aboveAverage="0" equalAverage="0" bottom="0" percent="0" rank="0" text="" dxfId="6">
      <formula>LEFT(D4,3)="MET"</formula>
    </cfRule>
    <cfRule type="expression" priority="5" aboveAverage="0" equalAverage="0" bottom="0" percent="0" rank="0" text="" dxfId="6">
      <formula>LEFT(D4,7)="DECIDED"</formula>
    </cfRule>
    <cfRule type="expression" priority="6" aboveAverage="0" equalAverage="0" bottom="0" percent="0" rank="0" text="" dxfId="6">
      <formula>LEFT(D4,8)="RATIFIED"</formula>
    </cfRule>
    <cfRule type="expression" priority="7" aboveAverage="0" equalAverage="0" bottom="0" percent="0" rank="0" text="" dxfId="6">
      <formula>LEFT(D4,5)="Fixed"</formula>
    </cfRule>
    <cfRule type="expression" priority="8" aboveAverage="0" equalAverage="0" bottom="0" percent="0" rank="0" text="" dxfId="7">
      <formula>LEFT(D4,7)="PARTIAL"</formula>
    </cfRule>
    <cfRule type="expression" priority="9" aboveAverage="0" equalAverage="0" bottom="0" percent="0" rank="0" text="" dxfId="7">
      <formula>LEFT(D4,7)="CHANGED"</formula>
    </cfRule>
    <cfRule type="expression" priority="10" aboveAverage="0" equalAverage="0" bottom="0" percent="0" rank="0" text="" dxfId="7">
      <formula>LEFT(D4,13)="FIXED-IN-TREE"</formula>
    </cfRule>
    <cfRule type="expression" priority="11" aboveAverage="0" equalAverage="0" bottom="0" percent="0" rank="0" text="" dxfId="7">
      <formula>LEFT(D4,7)="Partial"</formula>
    </cfRule>
    <cfRule type="expression" priority="12" aboveAverage="0" equalAverage="0" bottom="0" percent="0" rank="0" text="" dxfId="7">
      <formula>LEFT(D4,7)="Changed"</formula>
    </cfRule>
    <cfRule type="expression" priority="13" aboveAverage="0" equalAverage="0" bottom="0" percent="0" rank="0" text="" dxfId="7">
      <formula>LEFT(D4,17)="ACCEPTED-PROPOSED"</formula>
    </cfRule>
    <cfRule type="expression" priority="14" aboveAverage="0" equalAverage="0" bottom="0" percent="0" rank="0" text="" dxfId="8">
      <formula>LEFT(D4,4)="FAIL"</formula>
    </cfRule>
    <cfRule type="expression" priority="15" aboveAverage="0" equalAverage="0" bottom="0" percent="0" rank="0" text="" dxfId="8">
      <formula>LEFT(D4,7)="NOT MET"</formula>
    </cfRule>
    <cfRule type="expression" priority="16" aboveAverage="0" equalAverage="0" bottom="0" percent="0" rank="0" text="" dxfId="8">
      <formula>LEFT(D4,7)="BLOCKED"</formula>
    </cfRule>
    <cfRule type="expression" priority="17" aboveAverage="0" equalAverage="0" bottom="0" percent="0" rank="0" text="" dxfId="8">
      <formula>LEFT(D4,9)="Not built"</formula>
    </cfRule>
    <cfRule type="expression" priority="18" aboveAverage="0" equalAverage="0" bottom="0" percent="0" rank="0" text="" dxfId="8">
      <formula>LEFT(D4,8)="Deferred"</formula>
    </cfRule>
    <cfRule type="expression" priority="19" aboveAverage="0" equalAverage="0" bottom="0" percent="0" rank="0" text="" dxfId="8">
      <formula>LEFT(D4,8)="DEFERRED"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0" t="s">
        <v>170</v>
      </c>
    </row>
    <row r="2" customFormat="false" ht="15" hidden="false" customHeight="false" outlineLevel="0" collapsed="false">
      <c r="A2" s="5" t="s">
        <v>171</v>
      </c>
    </row>
    <row r="3" customFormat="false" ht="30" hidden="false" customHeight="true" outlineLevel="0" collapsed="false">
      <c r="A3" s="11" t="s">
        <v>58</v>
      </c>
      <c r="B3" s="11" t="s">
        <v>172</v>
      </c>
      <c r="C3" s="11" t="s">
        <v>173</v>
      </c>
      <c r="D3" s="11" t="s">
        <v>174</v>
      </c>
      <c r="E3" s="11" t="s">
        <v>175</v>
      </c>
      <c r="F3" s="11" t="s">
        <v>176</v>
      </c>
      <c r="G3" s="11" t="s">
        <v>177</v>
      </c>
    </row>
    <row r="4" customFormat="false" ht="15" hidden="false" customHeight="false" outlineLevel="0" collapsed="false">
      <c r="A4" s="12" t="s">
        <v>178</v>
      </c>
      <c r="B4" s="12" t="n">
        <v>6</v>
      </c>
      <c r="C4" s="12" t="n">
        <v>29</v>
      </c>
      <c r="D4" s="12" t="n">
        <f aca="false">C4-B4</f>
        <v>23</v>
      </c>
      <c r="E4" s="12" t="n">
        <v>73</v>
      </c>
      <c r="F4" s="12" t="n">
        <v>2118</v>
      </c>
      <c r="G4" s="12" t="n">
        <f aca="false">F4-E4</f>
        <v>2045</v>
      </c>
    </row>
    <row r="5" customFormat="false" ht="15" hidden="false" customHeight="false" outlineLevel="0" collapsed="false">
      <c r="A5" s="12" t="s">
        <v>179</v>
      </c>
      <c r="B5" s="12" t="n">
        <v>3</v>
      </c>
      <c r="C5" s="12" t="n">
        <v>27</v>
      </c>
      <c r="D5" s="12" t="n">
        <f aca="false">C5-B5</f>
        <v>24</v>
      </c>
      <c r="E5" s="12" t="n">
        <v>30</v>
      </c>
      <c r="F5" s="12" t="n">
        <v>2198</v>
      </c>
      <c r="G5" s="12" t="n">
        <f aca="false">F5-E5</f>
        <v>2168</v>
      </c>
    </row>
    <row r="6" customFormat="false" ht="15" hidden="false" customHeight="false" outlineLevel="0" collapsed="false">
      <c r="A6" s="12" t="s">
        <v>180</v>
      </c>
      <c r="B6" s="12" t="n">
        <v>10</v>
      </c>
      <c r="C6" s="12" t="n">
        <v>24</v>
      </c>
      <c r="D6" s="12" t="n">
        <f aca="false">C6-B6</f>
        <v>14</v>
      </c>
      <c r="E6" s="12" t="n">
        <v>0</v>
      </c>
      <c r="F6" s="12" t="n">
        <v>6</v>
      </c>
      <c r="G6" s="12" t="n">
        <f aca="false">F6-E6</f>
        <v>6</v>
      </c>
    </row>
    <row r="7" customFormat="false" ht="15" hidden="false" customHeight="false" outlineLevel="0" collapsed="false">
      <c r="A7" s="12" t="s">
        <v>181</v>
      </c>
      <c r="B7" s="12" t="n">
        <v>1</v>
      </c>
      <c r="C7" s="12" t="n">
        <v>20</v>
      </c>
      <c r="D7" s="12" t="n">
        <f aca="false">C7-B7</f>
        <v>19</v>
      </c>
      <c r="E7" s="12" t="n">
        <v>33</v>
      </c>
      <c r="F7" s="12" t="n">
        <v>3541</v>
      </c>
      <c r="G7" s="12" t="n">
        <f aca="false">F7-E7</f>
        <v>3508</v>
      </c>
    </row>
    <row r="8" customFormat="false" ht="15" hidden="false" customHeight="false" outlineLevel="0" collapsed="false">
      <c r="A8" s="12" t="s">
        <v>182</v>
      </c>
      <c r="B8" s="12" t="n">
        <v>11</v>
      </c>
      <c r="C8" s="12" t="n">
        <v>14</v>
      </c>
      <c r="D8" s="12" t="n">
        <f aca="false">C8-B8</f>
        <v>3</v>
      </c>
      <c r="E8" s="12" t="n">
        <v>0</v>
      </c>
      <c r="F8" s="12" t="n">
        <v>0</v>
      </c>
      <c r="G8" s="12" t="n">
        <f aca="false">F8-E8</f>
        <v>0</v>
      </c>
    </row>
    <row r="9" customFormat="false" ht="15" hidden="false" customHeight="false" outlineLevel="0" collapsed="false">
      <c r="A9" s="12" t="s">
        <v>183</v>
      </c>
      <c r="B9" s="12" t="n">
        <v>0</v>
      </c>
      <c r="C9" s="12" t="n">
        <v>11</v>
      </c>
      <c r="D9" s="12" t="n">
        <f aca="false">C9-B9</f>
        <v>11</v>
      </c>
      <c r="E9" s="12" t="n">
        <v>0</v>
      </c>
      <c r="F9" s="12" t="n">
        <v>624</v>
      </c>
      <c r="G9" s="12" t="n">
        <f aca="false">F9-E9</f>
        <v>624</v>
      </c>
    </row>
    <row r="10" customFormat="false" ht="15" hidden="false" customHeight="false" outlineLevel="0" collapsed="false">
      <c r="A10" s="12" t="s">
        <v>184</v>
      </c>
      <c r="B10" s="12" t="n">
        <v>9</v>
      </c>
      <c r="C10" s="12" t="n">
        <v>9</v>
      </c>
      <c r="D10" s="12" t="n">
        <f aca="false">C10-B10</f>
        <v>0</v>
      </c>
      <c r="E10" s="12" t="n">
        <v>0</v>
      </c>
      <c r="F10" s="12" t="n">
        <v>0</v>
      </c>
      <c r="G10" s="12" t="n">
        <f aca="false">F10-E10</f>
        <v>0</v>
      </c>
    </row>
    <row r="11" customFormat="false" ht="15" hidden="false" customHeight="false" outlineLevel="0" collapsed="false">
      <c r="A11" s="12" t="s">
        <v>185</v>
      </c>
      <c r="B11" s="12" t="n">
        <v>3</v>
      </c>
      <c r="C11" s="12" t="n">
        <v>8</v>
      </c>
      <c r="D11" s="12" t="n">
        <f aca="false">C11-B11</f>
        <v>5</v>
      </c>
      <c r="E11" s="12" t="n">
        <v>10</v>
      </c>
      <c r="F11" s="12" t="n">
        <v>100</v>
      </c>
      <c r="G11" s="12" t="n">
        <f aca="false">F11-E11</f>
        <v>90</v>
      </c>
    </row>
    <row r="12" customFormat="false" ht="15" hidden="false" customHeight="false" outlineLevel="0" collapsed="false">
      <c r="A12" s="12" t="s">
        <v>186</v>
      </c>
      <c r="B12" s="12" t="n">
        <v>1</v>
      </c>
      <c r="C12" s="12" t="n">
        <v>5</v>
      </c>
      <c r="D12" s="12" t="n">
        <f aca="false">C12-B12</f>
        <v>4</v>
      </c>
      <c r="E12" s="12" t="n">
        <v>0</v>
      </c>
      <c r="F12" s="12" t="n">
        <v>0</v>
      </c>
      <c r="G12" s="12" t="n">
        <f aca="false">F12-E12</f>
        <v>0</v>
      </c>
    </row>
    <row r="13" customFormat="false" ht="15" hidden="false" customHeight="false" outlineLevel="0" collapsed="false">
      <c r="A13" s="12" t="s">
        <v>187</v>
      </c>
      <c r="B13" s="12" t="n">
        <v>1</v>
      </c>
      <c r="C13" s="12" t="n">
        <v>3</v>
      </c>
      <c r="D13" s="12" t="n">
        <f aca="false">C13-B13</f>
        <v>2</v>
      </c>
      <c r="E13" s="12" t="n">
        <v>0</v>
      </c>
      <c r="F13" s="12" t="n">
        <v>0</v>
      </c>
      <c r="G13" s="12" t="n">
        <f aca="false">F13-E13</f>
        <v>0</v>
      </c>
    </row>
    <row r="14" customFormat="false" ht="15" hidden="false" customHeight="false" outlineLevel="0" collapsed="false">
      <c r="A14" s="12" t="s">
        <v>188</v>
      </c>
      <c r="B14" s="12" t="n">
        <v>2</v>
      </c>
      <c r="C14" s="12" t="n">
        <v>3</v>
      </c>
      <c r="D14" s="12" t="n">
        <f aca="false">C14-B14</f>
        <v>1</v>
      </c>
      <c r="E14" s="12" t="n">
        <v>20</v>
      </c>
      <c r="F14" s="12" t="n">
        <v>337</v>
      </c>
      <c r="G14" s="12" t="n">
        <f aca="false">F14-E14</f>
        <v>317</v>
      </c>
    </row>
    <row r="15" customFormat="false" ht="15" hidden="false" customHeight="false" outlineLevel="0" collapsed="false">
      <c r="A15" s="12" t="s">
        <v>189</v>
      </c>
      <c r="B15" s="12" t="n">
        <v>1</v>
      </c>
      <c r="C15" s="12" t="n">
        <v>2</v>
      </c>
      <c r="D15" s="12" t="n">
        <f aca="false">C15-B15</f>
        <v>1</v>
      </c>
      <c r="E15" s="12" t="n">
        <v>12</v>
      </c>
      <c r="F15" s="12" t="n">
        <v>323</v>
      </c>
      <c r="G15" s="12" t="n">
        <f aca="false">F15-E15</f>
        <v>311</v>
      </c>
    </row>
    <row r="16" customFormat="false" ht="15" hidden="false" customHeight="false" outlineLevel="0" collapsed="false">
      <c r="A16" s="12" t="s">
        <v>190</v>
      </c>
      <c r="B16" s="12" t="n">
        <v>2</v>
      </c>
      <c r="C16" s="12" t="n">
        <v>2</v>
      </c>
      <c r="D16" s="12" t="n">
        <f aca="false">C16-B16</f>
        <v>0</v>
      </c>
      <c r="E16" s="12" t="n">
        <v>14</v>
      </c>
      <c r="F16" s="12" t="n">
        <v>18</v>
      </c>
      <c r="G16" s="12" t="n">
        <f aca="false">F16-E16</f>
        <v>4</v>
      </c>
    </row>
    <row r="17" customFormat="false" ht="15" hidden="false" customHeight="false" outlineLevel="0" collapsed="false">
      <c r="A17" s="12" t="s">
        <v>191</v>
      </c>
      <c r="B17" s="12" t="n">
        <v>1</v>
      </c>
      <c r="C17" s="12" t="n">
        <v>1</v>
      </c>
      <c r="D17" s="12" t="n">
        <f aca="false">C17-B17</f>
        <v>0</v>
      </c>
      <c r="E17" s="12" t="n">
        <v>5</v>
      </c>
      <c r="F17" s="12" t="n">
        <v>16</v>
      </c>
      <c r="G17" s="12" t="n">
        <f aca="false">F17-E17</f>
        <v>11</v>
      </c>
    </row>
    <row r="18" customFormat="false" ht="15" hidden="false" customHeight="false" outlineLevel="0" collapsed="false">
      <c r="A18" s="13" t="s">
        <v>192</v>
      </c>
      <c r="B18" s="13" t="n">
        <f aca="false">SUM(B4:B17)</f>
        <v>51</v>
      </c>
      <c r="C18" s="13" t="n">
        <f aca="false">SUM(C4:C17)</f>
        <v>158</v>
      </c>
      <c r="D18" s="13" t="n">
        <f aca="false">SUM(D4:D17)</f>
        <v>107</v>
      </c>
      <c r="E18" s="13" t="n">
        <f aca="false">SUM(E4:E17)</f>
        <v>197</v>
      </c>
      <c r="F18" s="13" t="n">
        <f aca="false">SUM(F4:F17)</f>
        <v>9281</v>
      </c>
      <c r="G18" s="13" t="n">
        <f aca="false">SUM(G4:G17)</f>
        <v>9084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40"/>
    <col collapsed="false" customWidth="true" hidden="false" outlineLevel="0" max="11" min="11" style="0" width="22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10" t="s">
        <v>193</v>
      </c>
    </row>
    <row r="2" customFormat="false" ht="15" hidden="false" customHeight="false" outlineLevel="0" collapsed="false">
      <c r="A2" s="5" t="s">
        <v>194</v>
      </c>
    </row>
    <row r="3" customFormat="false" ht="30" hidden="false" customHeight="true" outlineLevel="0" collapsed="false">
      <c r="A3" s="11" t="s">
        <v>195</v>
      </c>
      <c r="B3" s="11" t="s">
        <v>196</v>
      </c>
      <c r="C3" s="11" t="s">
        <v>197</v>
      </c>
      <c r="D3" s="11" t="s">
        <v>198</v>
      </c>
      <c r="E3" s="11" t="s">
        <v>199</v>
      </c>
      <c r="F3" s="11" t="s">
        <v>200</v>
      </c>
      <c r="G3" s="11" t="s">
        <v>201</v>
      </c>
      <c r="H3" s="11" t="s">
        <v>202</v>
      </c>
      <c r="I3" s="11" t="s">
        <v>203</v>
      </c>
      <c r="J3" s="11" t="s">
        <v>204</v>
      </c>
      <c r="K3" s="11" t="s">
        <v>205</v>
      </c>
      <c r="L3" s="11" t="s">
        <v>206</v>
      </c>
    </row>
    <row r="4" customFormat="false" ht="23.85" hidden="false" customHeight="false" outlineLevel="0" collapsed="false">
      <c r="A4" s="12" t="s">
        <v>207</v>
      </c>
      <c r="B4" s="12" t="s">
        <v>208</v>
      </c>
      <c r="C4" s="12" t="s">
        <v>209</v>
      </c>
      <c r="D4" s="12" t="s">
        <v>210</v>
      </c>
      <c r="E4" s="12" t="s">
        <v>211</v>
      </c>
      <c r="F4" s="12" t="s">
        <v>212</v>
      </c>
      <c r="G4" s="12" t="s">
        <v>213</v>
      </c>
      <c r="H4" s="12" t="s">
        <v>214</v>
      </c>
      <c r="I4" s="12" t="s">
        <v>215</v>
      </c>
      <c r="J4" s="12" t="s">
        <v>216</v>
      </c>
      <c r="K4" s="14" t="s">
        <v>217</v>
      </c>
      <c r="L4" s="15" t="s">
        <v>218</v>
      </c>
    </row>
    <row r="5" customFormat="false" ht="23.85" hidden="false" customHeight="false" outlineLevel="0" collapsed="false">
      <c r="A5" s="12" t="s">
        <v>219</v>
      </c>
      <c r="B5" s="12" t="s">
        <v>208</v>
      </c>
      <c r="C5" s="12" t="s">
        <v>209</v>
      </c>
      <c r="D5" s="12" t="s">
        <v>210</v>
      </c>
      <c r="E5" s="12" t="s">
        <v>211</v>
      </c>
      <c r="F5" s="12" t="s">
        <v>220</v>
      </c>
      <c r="G5" s="12" t="s">
        <v>213</v>
      </c>
      <c r="H5" s="12" t="s">
        <v>214</v>
      </c>
      <c r="I5" s="12" t="s">
        <v>215</v>
      </c>
      <c r="J5" s="12" t="s">
        <v>216</v>
      </c>
      <c r="K5" s="14" t="s">
        <v>221</v>
      </c>
      <c r="L5" s="15" t="s">
        <v>218</v>
      </c>
    </row>
    <row r="6" customFormat="false" ht="23.85" hidden="false" customHeight="false" outlineLevel="0" collapsed="false">
      <c r="A6" s="12" t="s">
        <v>222</v>
      </c>
      <c r="B6" s="12" t="s">
        <v>208</v>
      </c>
      <c r="C6" s="12" t="s">
        <v>209</v>
      </c>
      <c r="D6" s="12" t="s">
        <v>210</v>
      </c>
      <c r="E6" s="12" t="s">
        <v>211</v>
      </c>
      <c r="F6" s="12" t="s">
        <v>223</v>
      </c>
      <c r="G6" s="12" t="s">
        <v>213</v>
      </c>
      <c r="H6" s="12" t="s">
        <v>214</v>
      </c>
      <c r="I6" s="12" t="s">
        <v>215</v>
      </c>
      <c r="J6" s="12" t="s">
        <v>216</v>
      </c>
      <c r="K6" s="14" t="s">
        <v>224</v>
      </c>
      <c r="L6" s="15" t="s">
        <v>218</v>
      </c>
    </row>
    <row r="7" customFormat="false" ht="23.85" hidden="false" customHeight="false" outlineLevel="0" collapsed="false">
      <c r="A7" s="12" t="s">
        <v>225</v>
      </c>
      <c r="B7" s="12" t="s">
        <v>208</v>
      </c>
      <c r="C7" s="12" t="s">
        <v>209</v>
      </c>
      <c r="D7" s="12" t="s">
        <v>210</v>
      </c>
      <c r="E7" s="12" t="s">
        <v>211</v>
      </c>
      <c r="F7" s="12" t="s">
        <v>223</v>
      </c>
      <c r="G7" s="12" t="s">
        <v>213</v>
      </c>
      <c r="H7" s="12"/>
      <c r="I7" s="12" t="s">
        <v>215</v>
      </c>
      <c r="J7" s="12" t="s">
        <v>216</v>
      </c>
      <c r="K7" s="14" t="s">
        <v>226</v>
      </c>
      <c r="L7" s="15" t="s">
        <v>218</v>
      </c>
    </row>
    <row r="8" customFormat="false" ht="23.85" hidden="false" customHeight="false" outlineLevel="0" collapsed="false">
      <c r="A8" s="12" t="s">
        <v>227</v>
      </c>
      <c r="B8" s="12" t="s">
        <v>208</v>
      </c>
      <c r="C8" s="12" t="s">
        <v>209</v>
      </c>
      <c r="D8" s="12" t="s">
        <v>210</v>
      </c>
      <c r="E8" s="12" t="s">
        <v>211</v>
      </c>
      <c r="F8" s="12" t="s">
        <v>223</v>
      </c>
      <c r="G8" s="12" t="s">
        <v>228</v>
      </c>
      <c r="H8" s="12"/>
      <c r="I8" s="12" t="s">
        <v>215</v>
      </c>
      <c r="J8" s="12" t="s">
        <v>229</v>
      </c>
      <c r="K8" s="14" t="s">
        <v>230</v>
      </c>
      <c r="L8" s="15" t="s">
        <v>218</v>
      </c>
    </row>
    <row r="9" customFormat="false" ht="23.85" hidden="false" customHeight="false" outlineLevel="0" collapsed="false">
      <c r="A9" s="12" t="s">
        <v>231</v>
      </c>
      <c r="B9" s="12" t="s">
        <v>208</v>
      </c>
      <c r="C9" s="12" t="s">
        <v>209</v>
      </c>
      <c r="D9" s="12" t="s">
        <v>210</v>
      </c>
      <c r="E9" s="12" t="s">
        <v>211</v>
      </c>
      <c r="F9" s="12" t="s">
        <v>223</v>
      </c>
      <c r="G9" s="12" t="s">
        <v>232</v>
      </c>
      <c r="H9" s="12"/>
      <c r="I9" s="12" t="s">
        <v>215</v>
      </c>
      <c r="J9" s="12" t="s">
        <v>229</v>
      </c>
      <c r="K9" s="14" t="s">
        <v>233</v>
      </c>
      <c r="L9" s="15" t="s">
        <v>218</v>
      </c>
    </row>
    <row r="10" customFormat="false" ht="23.85" hidden="false" customHeight="false" outlineLevel="0" collapsed="false">
      <c r="A10" s="12" t="s">
        <v>234</v>
      </c>
      <c r="B10" s="12" t="s">
        <v>208</v>
      </c>
      <c r="C10" s="12" t="s">
        <v>209</v>
      </c>
      <c r="D10" s="12" t="s">
        <v>210</v>
      </c>
      <c r="E10" s="12" t="s">
        <v>211</v>
      </c>
      <c r="F10" s="12" t="s">
        <v>223</v>
      </c>
      <c r="G10" s="12" t="s">
        <v>232</v>
      </c>
      <c r="H10" s="12"/>
      <c r="I10" s="12" t="s">
        <v>215</v>
      </c>
      <c r="J10" s="12" t="s">
        <v>229</v>
      </c>
      <c r="K10" s="14" t="s">
        <v>235</v>
      </c>
      <c r="L10" s="15" t="s">
        <v>218</v>
      </c>
    </row>
    <row r="11" customFormat="false" ht="23.85" hidden="false" customHeight="false" outlineLevel="0" collapsed="false">
      <c r="A11" s="12" t="s">
        <v>236</v>
      </c>
      <c r="B11" s="12" t="s">
        <v>208</v>
      </c>
      <c r="C11" s="12" t="s">
        <v>209</v>
      </c>
      <c r="D11" s="12" t="s">
        <v>210</v>
      </c>
      <c r="E11" s="12" t="s">
        <v>211</v>
      </c>
      <c r="F11" s="12" t="s">
        <v>223</v>
      </c>
      <c r="G11" s="12" t="s">
        <v>237</v>
      </c>
      <c r="H11" s="12"/>
      <c r="I11" s="12" t="s">
        <v>215</v>
      </c>
      <c r="J11" s="12" t="s">
        <v>229</v>
      </c>
      <c r="K11" s="14" t="s">
        <v>238</v>
      </c>
      <c r="L11" s="15" t="s">
        <v>218</v>
      </c>
    </row>
    <row r="12" customFormat="false" ht="23.85" hidden="false" customHeight="false" outlineLevel="0" collapsed="false">
      <c r="A12" s="12" t="s">
        <v>239</v>
      </c>
      <c r="B12" s="12" t="s">
        <v>208</v>
      </c>
      <c r="C12" s="12" t="s">
        <v>209</v>
      </c>
      <c r="D12" s="12" t="s">
        <v>210</v>
      </c>
      <c r="E12" s="12" t="s">
        <v>211</v>
      </c>
      <c r="F12" s="12" t="s">
        <v>223</v>
      </c>
      <c r="G12" s="12" t="s">
        <v>240</v>
      </c>
      <c r="H12" s="12"/>
      <c r="I12" s="12" t="s">
        <v>215</v>
      </c>
      <c r="J12" s="12" t="s">
        <v>229</v>
      </c>
      <c r="K12" s="14" t="s">
        <v>241</v>
      </c>
      <c r="L12" s="15" t="s">
        <v>218</v>
      </c>
    </row>
    <row r="13" customFormat="false" ht="23.85" hidden="false" customHeight="false" outlineLevel="0" collapsed="false">
      <c r="A13" s="12" t="s">
        <v>242</v>
      </c>
      <c r="B13" s="12" t="s">
        <v>208</v>
      </c>
      <c r="C13" s="12" t="s">
        <v>209</v>
      </c>
      <c r="D13" s="12" t="s">
        <v>210</v>
      </c>
      <c r="E13" s="12" t="s">
        <v>211</v>
      </c>
      <c r="F13" s="12" t="s">
        <v>223</v>
      </c>
      <c r="G13" s="12" t="s">
        <v>243</v>
      </c>
      <c r="H13" s="12"/>
      <c r="I13" s="12" t="s">
        <v>215</v>
      </c>
      <c r="J13" s="12" t="s">
        <v>244</v>
      </c>
      <c r="K13" s="14" t="s">
        <v>245</v>
      </c>
      <c r="L13" s="15" t="s">
        <v>218</v>
      </c>
    </row>
    <row r="14" customFormat="false" ht="23.85" hidden="false" customHeight="false" outlineLevel="0" collapsed="false">
      <c r="A14" s="12" t="s">
        <v>246</v>
      </c>
      <c r="B14" s="12" t="s">
        <v>208</v>
      </c>
      <c r="C14" s="12" t="s">
        <v>209</v>
      </c>
      <c r="D14" s="12" t="s">
        <v>210</v>
      </c>
      <c r="E14" s="12" t="s">
        <v>211</v>
      </c>
      <c r="F14" s="12" t="s">
        <v>223</v>
      </c>
      <c r="G14" s="12" t="s">
        <v>243</v>
      </c>
      <c r="H14" s="12"/>
      <c r="I14" s="12" t="s">
        <v>215</v>
      </c>
      <c r="J14" s="12" t="s">
        <v>244</v>
      </c>
      <c r="K14" s="14" t="s">
        <v>247</v>
      </c>
      <c r="L14" s="15" t="s">
        <v>218</v>
      </c>
    </row>
    <row r="15" customFormat="false" ht="23.85" hidden="false" customHeight="false" outlineLevel="0" collapsed="false">
      <c r="A15" s="12" t="s">
        <v>248</v>
      </c>
      <c r="B15" s="12" t="s">
        <v>208</v>
      </c>
      <c r="C15" s="12" t="s">
        <v>209</v>
      </c>
      <c r="D15" s="12" t="s">
        <v>210</v>
      </c>
      <c r="E15" s="12" t="s">
        <v>211</v>
      </c>
      <c r="F15" s="12" t="s">
        <v>223</v>
      </c>
      <c r="G15" s="12" t="s">
        <v>249</v>
      </c>
      <c r="H15" s="12"/>
      <c r="I15" s="12" t="s">
        <v>215</v>
      </c>
      <c r="J15" s="12" t="s">
        <v>250</v>
      </c>
      <c r="K15" s="14" t="s">
        <v>251</v>
      </c>
      <c r="L15" s="15" t="s">
        <v>218</v>
      </c>
    </row>
    <row r="16" customFormat="false" ht="23.85" hidden="false" customHeight="false" outlineLevel="0" collapsed="false">
      <c r="A16" s="12" t="s">
        <v>252</v>
      </c>
      <c r="B16" s="12" t="s">
        <v>208</v>
      </c>
      <c r="C16" s="12" t="s">
        <v>209</v>
      </c>
      <c r="D16" s="12" t="s">
        <v>210</v>
      </c>
      <c r="E16" s="12" t="s">
        <v>211</v>
      </c>
      <c r="F16" s="12" t="s">
        <v>253</v>
      </c>
      <c r="G16" s="12" t="s">
        <v>254</v>
      </c>
      <c r="H16" s="12"/>
      <c r="I16" s="12" t="s">
        <v>215</v>
      </c>
      <c r="J16" s="12" t="s">
        <v>255</v>
      </c>
      <c r="K16" s="14" t="s">
        <v>256</v>
      </c>
      <c r="L16" s="15" t="s">
        <v>218</v>
      </c>
    </row>
    <row r="17" customFormat="false" ht="23.85" hidden="false" customHeight="false" outlineLevel="0" collapsed="false">
      <c r="A17" s="12" t="s">
        <v>257</v>
      </c>
      <c r="B17" s="12" t="s">
        <v>208</v>
      </c>
      <c r="C17" s="12" t="s">
        <v>209</v>
      </c>
      <c r="D17" s="12" t="s">
        <v>210</v>
      </c>
      <c r="E17" s="12" t="s">
        <v>211</v>
      </c>
      <c r="F17" s="12" t="s">
        <v>223</v>
      </c>
      <c r="G17" s="12" t="s">
        <v>258</v>
      </c>
      <c r="H17" s="12"/>
      <c r="I17" s="12" t="s">
        <v>215</v>
      </c>
      <c r="J17" s="12" t="s">
        <v>259</v>
      </c>
      <c r="K17" s="14" t="s">
        <v>260</v>
      </c>
      <c r="L17" s="15" t="s">
        <v>218</v>
      </c>
    </row>
    <row r="18" customFormat="false" ht="23.85" hidden="false" customHeight="false" outlineLevel="0" collapsed="false">
      <c r="A18" s="12" t="s">
        <v>261</v>
      </c>
      <c r="B18" s="12" t="s">
        <v>208</v>
      </c>
      <c r="C18" s="12" t="s">
        <v>209</v>
      </c>
      <c r="D18" s="12" t="s">
        <v>210</v>
      </c>
      <c r="E18" s="12" t="s">
        <v>211</v>
      </c>
      <c r="F18" s="12" t="s">
        <v>223</v>
      </c>
      <c r="G18" s="12" t="s">
        <v>262</v>
      </c>
      <c r="H18" s="12"/>
      <c r="I18" s="12" t="s">
        <v>215</v>
      </c>
      <c r="J18" s="12" t="s">
        <v>263</v>
      </c>
      <c r="K18" s="14" t="s">
        <v>264</v>
      </c>
      <c r="L18" s="15" t="s">
        <v>218</v>
      </c>
    </row>
    <row r="19" customFormat="false" ht="23.85" hidden="false" customHeight="false" outlineLevel="0" collapsed="false">
      <c r="A19" s="12" t="s">
        <v>265</v>
      </c>
      <c r="B19" s="12" t="s">
        <v>266</v>
      </c>
      <c r="C19" s="12" t="s">
        <v>267</v>
      </c>
      <c r="D19" s="12" t="s">
        <v>210</v>
      </c>
      <c r="E19" s="12" t="s">
        <v>268</v>
      </c>
      <c r="F19" s="12" t="s">
        <v>223</v>
      </c>
      <c r="G19" s="12" t="s">
        <v>269</v>
      </c>
      <c r="H19" s="12"/>
      <c r="I19" s="12" t="s">
        <v>215</v>
      </c>
      <c r="J19" s="12" t="s">
        <v>270</v>
      </c>
      <c r="K19" s="14" t="s">
        <v>271</v>
      </c>
      <c r="L19" s="15" t="s">
        <v>218</v>
      </c>
    </row>
    <row r="20" customFormat="false" ht="23.85" hidden="false" customHeight="false" outlineLevel="0" collapsed="false">
      <c r="A20" s="12" t="s">
        <v>272</v>
      </c>
      <c r="B20" s="12" t="s">
        <v>273</v>
      </c>
      <c r="C20" s="12" t="s">
        <v>274</v>
      </c>
      <c r="D20" s="12" t="s">
        <v>210</v>
      </c>
      <c r="E20" s="12" t="s">
        <v>275</v>
      </c>
      <c r="F20" s="12" t="s">
        <v>253</v>
      </c>
      <c r="G20" s="12" t="s">
        <v>276</v>
      </c>
      <c r="H20" s="12"/>
      <c r="I20" s="12" t="s">
        <v>215</v>
      </c>
      <c r="J20" s="12" t="s">
        <v>277</v>
      </c>
      <c r="K20" s="14" t="s">
        <v>278</v>
      </c>
      <c r="L20" s="15" t="s">
        <v>218</v>
      </c>
    </row>
    <row r="21" customFormat="false" ht="23.85" hidden="false" customHeight="false" outlineLevel="0" collapsed="false">
      <c r="A21" s="12" t="s">
        <v>279</v>
      </c>
      <c r="B21" s="12" t="s">
        <v>273</v>
      </c>
      <c r="C21" s="12" t="s">
        <v>274</v>
      </c>
      <c r="D21" s="12" t="s">
        <v>210</v>
      </c>
      <c r="E21" s="12" t="s">
        <v>275</v>
      </c>
      <c r="F21" s="12" t="s">
        <v>280</v>
      </c>
      <c r="G21" s="12" t="s">
        <v>281</v>
      </c>
      <c r="H21" s="12"/>
      <c r="I21" s="12" t="s">
        <v>215</v>
      </c>
      <c r="J21" s="12" t="s">
        <v>277</v>
      </c>
      <c r="K21" s="14" t="s">
        <v>282</v>
      </c>
      <c r="L21" s="15" t="s">
        <v>218</v>
      </c>
    </row>
    <row r="22" customFormat="false" ht="23.85" hidden="false" customHeight="false" outlineLevel="0" collapsed="false">
      <c r="A22" s="12" t="s">
        <v>283</v>
      </c>
      <c r="B22" s="12" t="s">
        <v>273</v>
      </c>
      <c r="C22" s="12" t="s">
        <v>274</v>
      </c>
      <c r="D22" s="12" t="s">
        <v>210</v>
      </c>
      <c r="E22" s="12" t="s">
        <v>284</v>
      </c>
      <c r="F22" s="12" t="s">
        <v>285</v>
      </c>
      <c r="G22" s="12" t="s">
        <v>286</v>
      </c>
      <c r="H22" s="12"/>
      <c r="I22" s="12" t="s">
        <v>215</v>
      </c>
      <c r="J22" s="12" t="s">
        <v>287</v>
      </c>
      <c r="K22" s="14" t="s">
        <v>288</v>
      </c>
      <c r="L22" s="15" t="s">
        <v>218</v>
      </c>
    </row>
    <row r="23" customFormat="false" ht="23.85" hidden="false" customHeight="false" outlineLevel="0" collapsed="false">
      <c r="A23" s="12" t="s">
        <v>289</v>
      </c>
      <c r="B23" s="12" t="s">
        <v>273</v>
      </c>
      <c r="C23" s="12" t="s">
        <v>274</v>
      </c>
      <c r="D23" s="12" t="s">
        <v>210</v>
      </c>
      <c r="E23" s="12" t="s">
        <v>290</v>
      </c>
      <c r="F23" s="12" t="s">
        <v>223</v>
      </c>
      <c r="G23" s="12" t="s">
        <v>281</v>
      </c>
      <c r="H23" s="12" t="s">
        <v>291</v>
      </c>
      <c r="I23" s="12" t="s">
        <v>215</v>
      </c>
      <c r="J23" s="12" t="s">
        <v>292</v>
      </c>
      <c r="K23" s="14" t="s">
        <v>293</v>
      </c>
      <c r="L23" s="15" t="s">
        <v>218</v>
      </c>
    </row>
    <row r="24" customFormat="false" ht="23.85" hidden="false" customHeight="false" outlineLevel="0" collapsed="false">
      <c r="A24" s="12" t="s">
        <v>294</v>
      </c>
      <c r="B24" s="12" t="s">
        <v>273</v>
      </c>
      <c r="C24" s="12" t="s">
        <v>274</v>
      </c>
      <c r="D24" s="12" t="s">
        <v>210</v>
      </c>
      <c r="E24" s="12" t="s">
        <v>290</v>
      </c>
      <c r="F24" s="12" t="s">
        <v>223</v>
      </c>
      <c r="G24" s="12" t="s">
        <v>281</v>
      </c>
      <c r="H24" s="12"/>
      <c r="I24" s="12" t="s">
        <v>215</v>
      </c>
      <c r="J24" s="12" t="s">
        <v>292</v>
      </c>
      <c r="K24" s="14" t="s">
        <v>295</v>
      </c>
      <c r="L24" s="15" t="s">
        <v>218</v>
      </c>
    </row>
    <row r="25" customFormat="false" ht="23.85" hidden="false" customHeight="false" outlineLevel="0" collapsed="false">
      <c r="A25" s="12" t="s">
        <v>296</v>
      </c>
      <c r="B25" s="12" t="s">
        <v>273</v>
      </c>
      <c r="C25" s="12" t="s">
        <v>274</v>
      </c>
      <c r="D25" s="12" t="s">
        <v>210</v>
      </c>
      <c r="E25" s="12" t="s">
        <v>290</v>
      </c>
      <c r="F25" s="12" t="s">
        <v>297</v>
      </c>
      <c r="G25" s="12" t="s">
        <v>281</v>
      </c>
      <c r="H25" s="12"/>
      <c r="I25" s="12" t="s">
        <v>215</v>
      </c>
      <c r="J25" s="12" t="s">
        <v>292</v>
      </c>
      <c r="K25" s="14" t="s">
        <v>298</v>
      </c>
      <c r="L25" s="15" t="s">
        <v>218</v>
      </c>
    </row>
    <row r="26" customFormat="false" ht="23.85" hidden="false" customHeight="false" outlineLevel="0" collapsed="false">
      <c r="A26" s="12" t="s">
        <v>299</v>
      </c>
      <c r="B26" s="12" t="s">
        <v>273</v>
      </c>
      <c r="C26" s="12" t="s">
        <v>274</v>
      </c>
      <c r="D26" s="12" t="s">
        <v>210</v>
      </c>
      <c r="E26" s="12" t="s">
        <v>290</v>
      </c>
      <c r="F26" s="12" t="s">
        <v>297</v>
      </c>
      <c r="G26" s="12" t="s">
        <v>281</v>
      </c>
      <c r="H26" s="12"/>
      <c r="I26" s="12" t="s">
        <v>215</v>
      </c>
      <c r="J26" s="12" t="s">
        <v>292</v>
      </c>
      <c r="K26" s="14" t="s">
        <v>300</v>
      </c>
      <c r="L26" s="15" t="s">
        <v>218</v>
      </c>
    </row>
    <row r="27" customFormat="false" ht="23.85" hidden="false" customHeight="false" outlineLevel="0" collapsed="false">
      <c r="A27" s="12" t="s">
        <v>301</v>
      </c>
      <c r="B27" s="12" t="s">
        <v>273</v>
      </c>
      <c r="C27" s="12" t="s">
        <v>274</v>
      </c>
      <c r="D27" s="12" t="s">
        <v>210</v>
      </c>
      <c r="E27" s="12" t="s">
        <v>290</v>
      </c>
      <c r="F27" s="12" t="s">
        <v>253</v>
      </c>
      <c r="G27" s="12" t="s">
        <v>286</v>
      </c>
      <c r="H27" s="12"/>
      <c r="I27" s="12" t="s">
        <v>215</v>
      </c>
      <c r="J27" s="12" t="s">
        <v>302</v>
      </c>
      <c r="K27" s="14" t="s">
        <v>303</v>
      </c>
      <c r="L27" s="15" t="s">
        <v>218</v>
      </c>
    </row>
    <row r="28" customFormat="false" ht="23.85" hidden="false" customHeight="false" outlineLevel="0" collapsed="false">
      <c r="A28" s="12" t="s">
        <v>304</v>
      </c>
      <c r="B28" s="12" t="s">
        <v>273</v>
      </c>
      <c r="C28" s="12" t="s">
        <v>274</v>
      </c>
      <c r="D28" s="12" t="s">
        <v>210</v>
      </c>
      <c r="E28" s="12" t="s">
        <v>290</v>
      </c>
      <c r="F28" s="12" t="s">
        <v>297</v>
      </c>
      <c r="G28" s="12" t="s">
        <v>305</v>
      </c>
      <c r="H28" s="12" t="s">
        <v>306</v>
      </c>
      <c r="I28" s="12" t="s">
        <v>215</v>
      </c>
      <c r="J28" s="12" t="s">
        <v>307</v>
      </c>
      <c r="K28" s="14" t="s">
        <v>308</v>
      </c>
      <c r="L28" s="15" t="s">
        <v>218</v>
      </c>
    </row>
    <row r="29" customFormat="false" ht="23.85" hidden="false" customHeight="false" outlineLevel="0" collapsed="false">
      <c r="A29" s="12" t="s">
        <v>309</v>
      </c>
      <c r="B29" s="12" t="s">
        <v>273</v>
      </c>
      <c r="C29" s="12" t="s">
        <v>274</v>
      </c>
      <c r="D29" s="12" t="s">
        <v>210</v>
      </c>
      <c r="E29" s="12" t="s">
        <v>290</v>
      </c>
      <c r="F29" s="12" t="s">
        <v>223</v>
      </c>
      <c r="G29" s="12" t="s">
        <v>305</v>
      </c>
      <c r="H29" s="12"/>
      <c r="I29" s="12" t="s">
        <v>215</v>
      </c>
      <c r="J29" s="12" t="s">
        <v>307</v>
      </c>
      <c r="K29" s="14" t="s">
        <v>310</v>
      </c>
      <c r="L29" s="15" t="s">
        <v>218</v>
      </c>
    </row>
    <row r="30" customFormat="false" ht="15" hidden="false" customHeight="false" outlineLevel="0" collapsed="false">
      <c r="A30" s="12" t="s">
        <v>311</v>
      </c>
      <c r="B30" s="12" t="s">
        <v>312</v>
      </c>
      <c r="C30" s="12" t="s">
        <v>313</v>
      </c>
      <c r="D30" s="12" t="s">
        <v>314</v>
      </c>
      <c r="E30" s="12" t="s">
        <v>315</v>
      </c>
      <c r="F30" s="12" t="s">
        <v>223</v>
      </c>
      <c r="G30" s="12" t="s">
        <v>316</v>
      </c>
      <c r="H30" s="12"/>
      <c r="I30" s="12" t="s">
        <v>317</v>
      </c>
      <c r="J30" s="12" t="s">
        <v>318</v>
      </c>
      <c r="K30" s="14" t="s">
        <v>319</v>
      </c>
      <c r="L30" s="15" t="s">
        <v>218</v>
      </c>
    </row>
    <row r="31" customFormat="false" ht="15" hidden="false" customHeight="false" outlineLevel="0" collapsed="false">
      <c r="A31" s="12" t="s">
        <v>320</v>
      </c>
      <c r="B31" s="12" t="s">
        <v>312</v>
      </c>
      <c r="C31" s="12" t="s">
        <v>313</v>
      </c>
      <c r="D31" s="12" t="s">
        <v>314</v>
      </c>
      <c r="E31" s="12" t="s">
        <v>321</v>
      </c>
      <c r="F31" s="12" t="s">
        <v>220</v>
      </c>
      <c r="G31" s="12" t="s">
        <v>316</v>
      </c>
      <c r="H31" s="12"/>
      <c r="I31" s="12" t="s">
        <v>317</v>
      </c>
      <c r="J31" s="12" t="s">
        <v>322</v>
      </c>
      <c r="K31" s="14" t="s">
        <v>323</v>
      </c>
      <c r="L31" s="15" t="s">
        <v>218</v>
      </c>
    </row>
    <row r="32" customFormat="false" ht="23.85" hidden="false" customHeight="false" outlineLevel="0" collapsed="false">
      <c r="A32" s="12" t="s">
        <v>324</v>
      </c>
      <c r="B32" s="12" t="s">
        <v>325</v>
      </c>
      <c r="C32" s="12" t="s">
        <v>326</v>
      </c>
      <c r="D32" s="12" t="s">
        <v>314</v>
      </c>
      <c r="E32" s="12" t="s">
        <v>327</v>
      </c>
      <c r="F32" s="12" t="s">
        <v>223</v>
      </c>
      <c r="G32" s="12" t="s">
        <v>328</v>
      </c>
      <c r="H32" s="12" t="s">
        <v>329</v>
      </c>
      <c r="I32" s="12" t="s">
        <v>317</v>
      </c>
      <c r="J32" s="12" t="s">
        <v>330</v>
      </c>
      <c r="K32" s="14" t="s">
        <v>331</v>
      </c>
      <c r="L32" s="15" t="s">
        <v>218</v>
      </c>
    </row>
    <row r="33" customFormat="false" ht="15" hidden="false" customHeight="false" outlineLevel="0" collapsed="false">
      <c r="A33" s="12" t="s">
        <v>332</v>
      </c>
      <c r="B33" s="12" t="s">
        <v>333</v>
      </c>
      <c r="C33" s="12" t="s">
        <v>334</v>
      </c>
      <c r="D33" s="12" t="s">
        <v>314</v>
      </c>
      <c r="E33" s="12" t="s">
        <v>335</v>
      </c>
      <c r="F33" s="12" t="s">
        <v>220</v>
      </c>
      <c r="G33" s="12" t="s">
        <v>336</v>
      </c>
      <c r="H33" s="12" t="s">
        <v>125</v>
      </c>
      <c r="I33" s="12" t="s">
        <v>337</v>
      </c>
      <c r="J33" s="12" t="s">
        <v>338</v>
      </c>
      <c r="K33" s="14" t="s">
        <v>339</v>
      </c>
      <c r="L33" s="15" t="s">
        <v>218</v>
      </c>
    </row>
    <row r="34" customFormat="false" ht="15" hidden="false" customHeight="false" outlineLevel="0" collapsed="false">
      <c r="A34" s="12" t="s">
        <v>340</v>
      </c>
      <c r="B34" s="12" t="s">
        <v>333</v>
      </c>
      <c r="C34" s="12" t="s">
        <v>334</v>
      </c>
      <c r="D34" s="12" t="s">
        <v>314</v>
      </c>
      <c r="E34" s="12" t="s">
        <v>335</v>
      </c>
      <c r="F34" s="12" t="s">
        <v>220</v>
      </c>
      <c r="G34" s="12" t="s">
        <v>336</v>
      </c>
      <c r="H34" s="12"/>
      <c r="I34" s="12" t="s">
        <v>337</v>
      </c>
      <c r="J34" s="12" t="s">
        <v>338</v>
      </c>
      <c r="K34" s="14" t="s">
        <v>341</v>
      </c>
      <c r="L34" s="15" t="s">
        <v>218</v>
      </c>
    </row>
    <row r="35" customFormat="false" ht="15" hidden="false" customHeight="false" outlineLevel="0" collapsed="false">
      <c r="A35" s="12" t="s">
        <v>342</v>
      </c>
      <c r="B35" s="12" t="s">
        <v>333</v>
      </c>
      <c r="C35" s="12" t="s">
        <v>334</v>
      </c>
      <c r="D35" s="12" t="s">
        <v>314</v>
      </c>
      <c r="E35" s="12" t="s">
        <v>335</v>
      </c>
      <c r="F35" s="12" t="s">
        <v>220</v>
      </c>
      <c r="G35" s="12" t="s">
        <v>336</v>
      </c>
      <c r="H35" s="12"/>
      <c r="I35" s="12" t="s">
        <v>337</v>
      </c>
      <c r="J35" s="12" t="s">
        <v>338</v>
      </c>
      <c r="K35" s="14" t="s">
        <v>343</v>
      </c>
      <c r="L35" s="15" t="s">
        <v>218</v>
      </c>
    </row>
    <row r="36" customFormat="false" ht="15" hidden="false" customHeight="false" outlineLevel="0" collapsed="false">
      <c r="A36" s="12" t="s">
        <v>344</v>
      </c>
      <c r="B36" s="12" t="s">
        <v>333</v>
      </c>
      <c r="C36" s="12" t="s">
        <v>334</v>
      </c>
      <c r="D36" s="12" t="s">
        <v>314</v>
      </c>
      <c r="E36" s="12" t="s">
        <v>335</v>
      </c>
      <c r="F36" s="12" t="s">
        <v>220</v>
      </c>
      <c r="G36" s="12" t="s">
        <v>336</v>
      </c>
      <c r="H36" s="12"/>
      <c r="I36" s="12" t="s">
        <v>337</v>
      </c>
      <c r="J36" s="12" t="s">
        <v>338</v>
      </c>
      <c r="K36" s="14" t="s">
        <v>345</v>
      </c>
      <c r="L36" s="15" t="s">
        <v>218</v>
      </c>
    </row>
    <row r="37" customFormat="false" ht="15" hidden="false" customHeight="false" outlineLevel="0" collapsed="false">
      <c r="A37" s="12" t="s">
        <v>346</v>
      </c>
      <c r="B37" s="12" t="s">
        <v>333</v>
      </c>
      <c r="C37" s="12" t="s">
        <v>334</v>
      </c>
      <c r="D37" s="12" t="s">
        <v>314</v>
      </c>
      <c r="E37" s="12" t="s">
        <v>335</v>
      </c>
      <c r="F37" s="12" t="s">
        <v>253</v>
      </c>
      <c r="G37" s="12" t="s">
        <v>336</v>
      </c>
      <c r="H37" s="12"/>
      <c r="I37" s="12" t="s">
        <v>337</v>
      </c>
      <c r="J37" s="12" t="s">
        <v>338</v>
      </c>
      <c r="K37" s="14" t="s">
        <v>347</v>
      </c>
      <c r="L37" s="15" t="s">
        <v>218</v>
      </c>
    </row>
    <row r="38" customFormat="false" ht="15" hidden="false" customHeight="false" outlineLevel="0" collapsed="false">
      <c r="A38" s="12" t="s">
        <v>348</v>
      </c>
      <c r="B38" s="12" t="s">
        <v>333</v>
      </c>
      <c r="C38" s="12" t="s">
        <v>334</v>
      </c>
      <c r="D38" s="12" t="s">
        <v>314</v>
      </c>
      <c r="E38" s="12" t="s">
        <v>335</v>
      </c>
      <c r="F38" s="12" t="s">
        <v>297</v>
      </c>
      <c r="G38" s="12" t="s">
        <v>336</v>
      </c>
      <c r="H38" s="12"/>
      <c r="I38" s="12" t="s">
        <v>337</v>
      </c>
      <c r="J38" s="12" t="s">
        <v>338</v>
      </c>
      <c r="K38" s="14" t="s">
        <v>349</v>
      </c>
      <c r="L38" s="15" t="s">
        <v>218</v>
      </c>
    </row>
    <row r="39" customFormat="false" ht="15" hidden="false" customHeight="false" outlineLevel="0" collapsed="false">
      <c r="A39" s="12" t="s">
        <v>350</v>
      </c>
      <c r="B39" s="12" t="s">
        <v>333</v>
      </c>
      <c r="C39" s="12" t="s">
        <v>334</v>
      </c>
      <c r="D39" s="12" t="s">
        <v>314</v>
      </c>
      <c r="E39" s="12" t="s">
        <v>335</v>
      </c>
      <c r="F39" s="12" t="s">
        <v>253</v>
      </c>
      <c r="G39" s="12" t="s">
        <v>336</v>
      </c>
      <c r="H39" s="12"/>
      <c r="I39" s="12" t="s">
        <v>337</v>
      </c>
      <c r="J39" s="12" t="s">
        <v>338</v>
      </c>
      <c r="K39" s="14" t="s">
        <v>351</v>
      </c>
      <c r="L39" s="15" t="s">
        <v>218</v>
      </c>
    </row>
    <row r="40" customFormat="false" ht="23.85" hidden="false" customHeight="false" outlineLevel="0" collapsed="false">
      <c r="A40" s="12" t="s">
        <v>352</v>
      </c>
      <c r="B40" s="12" t="s">
        <v>333</v>
      </c>
      <c r="C40" s="12" t="s">
        <v>334</v>
      </c>
      <c r="D40" s="12" t="s">
        <v>314</v>
      </c>
      <c r="E40" s="12" t="s">
        <v>335</v>
      </c>
      <c r="F40" s="12" t="s">
        <v>297</v>
      </c>
      <c r="G40" s="12" t="s">
        <v>353</v>
      </c>
      <c r="H40" s="12"/>
      <c r="I40" s="12" t="s">
        <v>337</v>
      </c>
      <c r="J40" s="12" t="s">
        <v>354</v>
      </c>
      <c r="K40" s="14" t="s">
        <v>355</v>
      </c>
      <c r="L40" s="15" t="s">
        <v>218</v>
      </c>
    </row>
    <row r="41" customFormat="false" ht="23.85" hidden="false" customHeight="false" outlineLevel="0" collapsed="false">
      <c r="A41" s="12" t="s">
        <v>356</v>
      </c>
      <c r="B41" s="12" t="s">
        <v>333</v>
      </c>
      <c r="C41" s="12" t="s">
        <v>334</v>
      </c>
      <c r="D41" s="12" t="s">
        <v>314</v>
      </c>
      <c r="E41" s="12" t="s">
        <v>335</v>
      </c>
      <c r="F41" s="12" t="s">
        <v>253</v>
      </c>
      <c r="G41" s="12" t="s">
        <v>353</v>
      </c>
      <c r="H41" s="12"/>
      <c r="I41" s="12" t="s">
        <v>337</v>
      </c>
      <c r="J41" s="12" t="s">
        <v>354</v>
      </c>
      <c r="K41" s="14" t="s">
        <v>357</v>
      </c>
      <c r="L41" s="15" t="s">
        <v>218</v>
      </c>
    </row>
    <row r="42" customFormat="false" ht="23.85" hidden="false" customHeight="false" outlineLevel="0" collapsed="false">
      <c r="A42" s="12" t="s">
        <v>358</v>
      </c>
      <c r="B42" s="12" t="s">
        <v>325</v>
      </c>
      <c r="C42" s="12" t="s">
        <v>326</v>
      </c>
      <c r="D42" s="12" t="s">
        <v>314</v>
      </c>
      <c r="E42" s="12" t="s">
        <v>359</v>
      </c>
      <c r="F42" s="12" t="s">
        <v>360</v>
      </c>
      <c r="G42" s="12" t="s">
        <v>361</v>
      </c>
      <c r="H42" s="12" t="s">
        <v>362</v>
      </c>
      <c r="I42" s="12" t="s">
        <v>317</v>
      </c>
      <c r="J42" s="12" t="s">
        <v>363</v>
      </c>
      <c r="K42" s="14" t="s">
        <v>364</v>
      </c>
      <c r="L42" s="15" t="s">
        <v>218</v>
      </c>
    </row>
    <row r="43" customFormat="false" ht="23.85" hidden="false" customHeight="false" outlineLevel="0" collapsed="false">
      <c r="A43" s="12" t="s">
        <v>365</v>
      </c>
      <c r="B43" s="12" t="s">
        <v>325</v>
      </c>
      <c r="C43" s="12" t="s">
        <v>326</v>
      </c>
      <c r="D43" s="12" t="s">
        <v>314</v>
      </c>
      <c r="E43" s="12" t="s">
        <v>359</v>
      </c>
      <c r="F43" s="12" t="s">
        <v>223</v>
      </c>
      <c r="G43" s="12" t="s">
        <v>361</v>
      </c>
      <c r="H43" s="12" t="s">
        <v>362</v>
      </c>
      <c r="I43" s="12" t="s">
        <v>317</v>
      </c>
      <c r="J43" s="12" t="s">
        <v>363</v>
      </c>
      <c r="K43" s="14" t="s">
        <v>366</v>
      </c>
      <c r="L43" s="15" t="s">
        <v>218</v>
      </c>
    </row>
    <row r="44" customFormat="false" ht="23.85" hidden="false" customHeight="false" outlineLevel="0" collapsed="false">
      <c r="A44" s="12" t="s">
        <v>367</v>
      </c>
      <c r="B44" s="12" t="s">
        <v>325</v>
      </c>
      <c r="C44" s="12" t="s">
        <v>326</v>
      </c>
      <c r="D44" s="12" t="s">
        <v>314</v>
      </c>
      <c r="E44" s="12" t="s">
        <v>359</v>
      </c>
      <c r="F44" s="12" t="s">
        <v>223</v>
      </c>
      <c r="G44" s="12" t="s">
        <v>361</v>
      </c>
      <c r="H44" s="12" t="s">
        <v>362</v>
      </c>
      <c r="I44" s="12" t="s">
        <v>317</v>
      </c>
      <c r="J44" s="12" t="s">
        <v>363</v>
      </c>
      <c r="K44" s="14" t="s">
        <v>368</v>
      </c>
      <c r="L44" s="15" t="s">
        <v>218</v>
      </c>
    </row>
    <row r="45" customFormat="false" ht="23.85" hidden="false" customHeight="false" outlineLevel="0" collapsed="false">
      <c r="A45" s="12" t="s">
        <v>369</v>
      </c>
      <c r="B45" s="12" t="s">
        <v>325</v>
      </c>
      <c r="C45" s="12" t="s">
        <v>326</v>
      </c>
      <c r="D45" s="12" t="s">
        <v>314</v>
      </c>
      <c r="E45" s="12" t="s">
        <v>359</v>
      </c>
      <c r="F45" s="12" t="s">
        <v>223</v>
      </c>
      <c r="G45" s="12" t="s">
        <v>361</v>
      </c>
      <c r="H45" s="12" t="s">
        <v>362</v>
      </c>
      <c r="I45" s="12" t="s">
        <v>317</v>
      </c>
      <c r="J45" s="12" t="s">
        <v>363</v>
      </c>
      <c r="K45" s="14" t="s">
        <v>370</v>
      </c>
      <c r="L45" s="15" t="s">
        <v>218</v>
      </c>
    </row>
    <row r="46" customFormat="false" ht="23.85" hidden="false" customHeight="false" outlineLevel="0" collapsed="false">
      <c r="A46" s="12" t="s">
        <v>371</v>
      </c>
      <c r="B46" s="12" t="s">
        <v>325</v>
      </c>
      <c r="C46" s="12" t="s">
        <v>326</v>
      </c>
      <c r="D46" s="12" t="s">
        <v>314</v>
      </c>
      <c r="E46" s="12" t="s">
        <v>372</v>
      </c>
      <c r="F46" s="12" t="s">
        <v>220</v>
      </c>
      <c r="G46" s="12" t="s">
        <v>328</v>
      </c>
      <c r="H46" s="12"/>
      <c r="I46" s="12" t="s">
        <v>373</v>
      </c>
      <c r="J46" s="12" t="s">
        <v>374</v>
      </c>
      <c r="K46" s="14" t="s">
        <v>375</v>
      </c>
      <c r="L46" s="15" t="s">
        <v>218</v>
      </c>
    </row>
    <row r="47" customFormat="false" ht="23.85" hidden="false" customHeight="false" outlineLevel="0" collapsed="false">
      <c r="A47" s="12" t="s">
        <v>376</v>
      </c>
      <c r="B47" s="12" t="s">
        <v>325</v>
      </c>
      <c r="C47" s="12" t="s">
        <v>326</v>
      </c>
      <c r="D47" s="12" t="s">
        <v>314</v>
      </c>
      <c r="E47" s="12" t="s">
        <v>372</v>
      </c>
      <c r="F47" s="12" t="s">
        <v>223</v>
      </c>
      <c r="G47" s="12" t="s">
        <v>377</v>
      </c>
      <c r="H47" s="12"/>
      <c r="I47" s="12" t="s">
        <v>317</v>
      </c>
      <c r="J47" s="12" t="s">
        <v>378</v>
      </c>
      <c r="K47" s="14" t="s">
        <v>379</v>
      </c>
      <c r="L47" s="15" t="s">
        <v>218</v>
      </c>
    </row>
    <row r="48" customFormat="false" ht="23.85" hidden="false" customHeight="false" outlineLevel="0" collapsed="false">
      <c r="A48" s="12" t="s">
        <v>380</v>
      </c>
      <c r="B48" s="12" t="s">
        <v>325</v>
      </c>
      <c r="C48" s="12" t="s">
        <v>326</v>
      </c>
      <c r="D48" s="12" t="s">
        <v>314</v>
      </c>
      <c r="E48" s="12" t="s">
        <v>372</v>
      </c>
      <c r="F48" s="12" t="s">
        <v>220</v>
      </c>
      <c r="G48" s="12" t="s">
        <v>381</v>
      </c>
      <c r="H48" s="12"/>
      <c r="I48" s="12" t="s">
        <v>382</v>
      </c>
      <c r="J48" s="12" t="s">
        <v>383</v>
      </c>
      <c r="K48" s="14" t="s">
        <v>384</v>
      </c>
      <c r="L48" s="15" t="s">
        <v>218</v>
      </c>
    </row>
    <row r="49" customFormat="false" ht="15" hidden="false" customHeight="false" outlineLevel="0" collapsed="false">
      <c r="A49" s="12" t="s">
        <v>385</v>
      </c>
      <c r="B49" s="12" t="s">
        <v>386</v>
      </c>
      <c r="C49" s="12" t="s">
        <v>387</v>
      </c>
      <c r="D49" s="12" t="s">
        <v>314</v>
      </c>
      <c r="E49" s="12" t="s">
        <v>388</v>
      </c>
      <c r="F49" s="12" t="s">
        <v>223</v>
      </c>
      <c r="G49" s="12" t="s">
        <v>389</v>
      </c>
      <c r="H49" s="12"/>
      <c r="I49" s="12" t="s">
        <v>390</v>
      </c>
      <c r="J49" s="12" t="s">
        <v>391</v>
      </c>
      <c r="K49" s="14" t="s">
        <v>392</v>
      </c>
      <c r="L49" s="15" t="s">
        <v>218</v>
      </c>
    </row>
    <row r="50" customFormat="false" ht="15" hidden="false" customHeight="false" outlineLevel="0" collapsed="false">
      <c r="A50" s="12" t="s">
        <v>393</v>
      </c>
      <c r="B50" s="12" t="s">
        <v>386</v>
      </c>
      <c r="C50" s="12" t="s">
        <v>387</v>
      </c>
      <c r="D50" s="12" t="s">
        <v>314</v>
      </c>
      <c r="E50" s="12" t="s">
        <v>388</v>
      </c>
      <c r="F50" s="12" t="s">
        <v>223</v>
      </c>
      <c r="G50" s="12" t="s">
        <v>389</v>
      </c>
      <c r="H50" s="12" t="s">
        <v>394</v>
      </c>
      <c r="I50" s="12" t="s">
        <v>390</v>
      </c>
      <c r="J50" s="12" t="s">
        <v>391</v>
      </c>
      <c r="K50" s="14" t="s">
        <v>395</v>
      </c>
      <c r="L50" s="15" t="s">
        <v>218</v>
      </c>
    </row>
    <row r="51" customFormat="false" ht="15" hidden="false" customHeight="false" outlineLevel="0" collapsed="false">
      <c r="A51" s="12" t="s">
        <v>396</v>
      </c>
      <c r="B51" s="12" t="s">
        <v>386</v>
      </c>
      <c r="C51" s="12" t="s">
        <v>387</v>
      </c>
      <c r="D51" s="12" t="s">
        <v>314</v>
      </c>
      <c r="E51" s="12" t="s">
        <v>388</v>
      </c>
      <c r="F51" s="12" t="s">
        <v>223</v>
      </c>
      <c r="G51" s="12" t="s">
        <v>397</v>
      </c>
      <c r="H51" s="12"/>
      <c r="I51" s="12" t="s">
        <v>390</v>
      </c>
      <c r="J51" s="12" t="s">
        <v>391</v>
      </c>
      <c r="K51" s="14" t="s">
        <v>398</v>
      </c>
      <c r="L51" s="15" t="s">
        <v>218</v>
      </c>
    </row>
    <row r="52" customFormat="false" ht="15" hidden="false" customHeight="false" outlineLevel="0" collapsed="false">
      <c r="A52" s="12" t="s">
        <v>399</v>
      </c>
      <c r="B52" s="12" t="s">
        <v>400</v>
      </c>
      <c r="C52" s="12" t="s">
        <v>401</v>
      </c>
      <c r="D52" s="12" t="s">
        <v>402</v>
      </c>
      <c r="E52" s="12" t="s">
        <v>403</v>
      </c>
      <c r="F52" s="12" t="s">
        <v>223</v>
      </c>
      <c r="G52" s="12" t="s">
        <v>404</v>
      </c>
      <c r="H52" s="12"/>
      <c r="I52" s="12" t="s">
        <v>337</v>
      </c>
      <c r="J52" s="12" t="s">
        <v>405</v>
      </c>
      <c r="K52" s="14" t="s">
        <v>406</v>
      </c>
      <c r="L52" s="15" t="s">
        <v>218</v>
      </c>
    </row>
    <row r="53" customFormat="false" ht="15" hidden="false" customHeight="false" outlineLevel="0" collapsed="false">
      <c r="A53" s="12" t="s">
        <v>407</v>
      </c>
      <c r="B53" s="12" t="s">
        <v>400</v>
      </c>
      <c r="C53" s="12" t="s">
        <v>401</v>
      </c>
      <c r="D53" s="12" t="s">
        <v>402</v>
      </c>
      <c r="E53" s="12" t="s">
        <v>403</v>
      </c>
      <c r="F53" s="12" t="s">
        <v>223</v>
      </c>
      <c r="G53" s="12" t="s">
        <v>404</v>
      </c>
      <c r="H53" s="12" t="s">
        <v>408</v>
      </c>
      <c r="I53" s="12" t="s">
        <v>337</v>
      </c>
      <c r="J53" s="12" t="s">
        <v>409</v>
      </c>
      <c r="K53" s="14" t="s">
        <v>410</v>
      </c>
      <c r="L53" s="15" t="s">
        <v>218</v>
      </c>
    </row>
    <row r="54" customFormat="false" ht="15" hidden="false" customHeight="false" outlineLevel="0" collapsed="false">
      <c r="A54" s="12" t="s">
        <v>411</v>
      </c>
      <c r="B54" s="12" t="s">
        <v>400</v>
      </c>
      <c r="C54" s="12" t="s">
        <v>401</v>
      </c>
      <c r="D54" s="12" t="s">
        <v>402</v>
      </c>
      <c r="E54" s="12" t="s">
        <v>403</v>
      </c>
      <c r="F54" s="12" t="s">
        <v>253</v>
      </c>
      <c r="G54" s="12" t="s">
        <v>404</v>
      </c>
      <c r="H54" s="12" t="s">
        <v>412</v>
      </c>
      <c r="I54" s="12" t="s">
        <v>337</v>
      </c>
      <c r="J54" s="12" t="s">
        <v>413</v>
      </c>
      <c r="K54" s="14" t="s">
        <v>414</v>
      </c>
      <c r="L54" s="15" t="s">
        <v>218</v>
      </c>
    </row>
    <row r="55" customFormat="false" ht="23.85" hidden="false" customHeight="false" outlineLevel="0" collapsed="false">
      <c r="A55" s="12" t="s">
        <v>415</v>
      </c>
      <c r="B55" s="12" t="s">
        <v>400</v>
      </c>
      <c r="C55" s="12" t="s">
        <v>401</v>
      </c>
      <c r="D55" s="12" t="s">
        <v>402</v>
      </c>
      <c r="E55" s="12" t="s">
        <v>403</v>
      </c>
      <c r="F55" s="12" t="s">
        <v>253</v>
      </c>
      <c r="G55" s="12" t="s">
        <v>404</v>
      </c>
      <c r="H55" s="12" t="s">
        <v>416</v>
      </c>
      <c r="I55" s="12" t="s">
        <v>337</v>
      </c>
      <c r="J55" s="12" t="s">
        <v>413</v>
      </c>
      <c r="K55" s="14" t="s">
        <v>417</v>
      </c>
      <c r="L55" s="15" t="s">
        <v>218</v>
      </c>
    </row>
    <row r="56" customFormat="false" ht="15" hidden="false" customHeight="false" outlineLevel="0" collapsed="false">
      <c r="A56" s="12" t="s">
        <v>418</v>
      </c>
      <c r="B56" s="12" t="s">
        <v>400</v>
      </c>
      <c r="C56" s="12" t="s">
        <v>401</v>
      </c>
      <c r="D56" s="12" t="s">
        <v>402</v>
      </c>
      <c r="E56" s="12" t="s">
        <v>403</v>
      </c>
      <c r="F56" s="12" t="s">
        <v>223</v>
      </c>
      <c r="G56" s="12" t="s">
        <v>404</v>
      </c>
      <c r="H56" s="12" t="s">
        <v>419</v>
      </c>
      <c r="I56" s="12" t="s">
        <v>337</v>
      </c>
      <c r="J56" s="12" t="s">
        <v>420</v>
      </c>
      <c r="K56" s="14" t="s">
        <v>421</v>
      </c>
      <c r="L56" s="15" t="s">
        <v>218</v>
      </c>
    </row>
    <row r="57" customFormat="false" ht="15" hidden="false" customHeight="false" outlineLevel="0" collapsed="false">
      <c r="A57" s="12" t="s">
        <v>422</v>
      </c>
      <c r="B57" s="12" t="s">
        <v>400</v>
      </c>
      <c r="C57" s="12" t="s">
        <v>401</v>
      </c>
      <c r="D57" s="12" t="s">
        <v>402</v>
      </c>
      <c r="E57" s="12" t="s">
        <v>403</v>
      </c>
      <c r="F57" s="12" t="s">
        <v>220</v>
      </c>
      <c r="G57" s="12" t="s">
        <v>404</v>
      </c>
      <c r="H57" s="12" t="s">
        <v>423</v>
      </c>
      <c r="I57" s="12" t="s">
        <v>337</v>
      </c>
      <c r="J57" s="12" t="s">
        <v>420</v>
      </c>
      <c r="K57" s="14" t="s">
        <v>424</v>
      </c>
      <c r="L57" s="15" t="s">
        <v>218</v>
      </c>
    </row>
    <row r="58" customFormat="false" ht="15" hidden="false" customHeight="false" outlineLevel="0" collapsed="false">
      <c r="A58" s="12" t="s">
        <v>425</v>
      </c>
      <c r="B58" s="12" t="s">
        <v>400</v>
      </c>
      <c r="C58" s="12" t="s">
        <v>401</v>
      </c>
      <c r="D58" s="12" t="s">
        <v>402</v>
      </c>
      <c r="E58" s="12" t="s">
        <v>403</v>
      </c>
      <c r="F58" s="12" t="s">
        <v>285</v>
      </c>
      <c r="G58" s="12" t="s">
        <v>404</v>
      </c>
      <c r="H58" s="12"/>
      <c r="I58" s="12" t="s">
        <v>337</v>
      </c>
      <c r="J58" s="12" t="s">
        <v>426</v>
      </c>
      <c r="K58" s="14" t="s">
        <v>427</v>
      </c>
      <c r="L58" s="15" t="s">
        <v>218</v>
      </c>
    </row>
    <row r="59" customFormat="false" ht="35.05" hidden="false" customHeight="false" outlineLevel="0" collapsed="false">
      <c r="A59" s="12" t="s">
        <v>428</v>
      </c>
      <c r="B59" s="12" t="s">
        <v>400</v>
      </c>
      <c r="C59" s="12" t="s">
        <v>401</v>
      </c>
      <c r="D59" s="12" t="s">
        <v>402</v>
      </c>
      <c r="E59" s="12" t="s">
        <v>403</v>
      </c>
      <c r="F59" s="12" t="s">
        <v>253</v>
      </c>
      <c r="G59" s="12" t="s">
        <v>404</v>
      </c>
      <c r="H59" s="12" t="s">
        <v>429</v>
      </c>
      <c r="I59" s="12" t="s">
        <v>337</v>
      </c>
      <c r="J59" s="12" t="s">
        <v>430</v>
      </c>
      <c r="K59" s="14" t="s">
        <v>431</v>
      </c>
      <c r="L59" s="15" t="s">
        <v>218</v>
      </c>
    </row>
    <row r="60" customFormat="false" ht="23.85" hidden="false" customHeight="false" outlineLevel="0" collapsed="false">
      <c r="A60" s="12" t="s">
        <v>432</v>
      </c>
      <c r="B60" s="12" t="s">
        <v>400</v>
      </c>
      <c r="C60" s="12" t="s">
        <v>401</v>
      </c>
      <c r="D60" s="12" t="s">
        <v>402</v>
      </c>
      <c r="E60" s="12" t="s">
        <v>403</v>
      </c>
      <c r="F60" s="12" t="s">
        <v>253</v>
      </c>
      <c r="G60" s="12" t="s">
        <v>404</v>
      </c>
      <c r="H60" s="12" t="s">
        <v>433</v>
      </c>
      <c r="I60" s="12" t="s">
        <v>337</v>
      </c>
      <c r="J60" s="12" t="s">
        <v>434</v>
      </c>
      <c r="K60" s="14" t="s">
        <v>435</v>
      </c>
      <c r="L60" s="15" t="s">
        <v>218</v>
      </c>
    </row>
    <row r="61" customFormat="false" ht="15" hidden="false" customHeight="false" outlineLevel="0" collapsed="false">
      <c r="A61" s="12" t="s">
        <v>436</v>
      </c>
      <c r="B61" s="12" t="s">
        <v>400</v>
      </c>
      <c r="C61" s="12" t="s">
        <v>401</v>
      </c>
      <c r="D61" s="12" t="s">
        <v>402</v>
      </c>
      <c r="E61" s="12" t="s">
        <v>403</v>
      </c>
      <c r="F61" s="12" t="s">
        <v>253</v>
      </c>
      <c r="G61" s="12" t="s">
        <v>404</v>
      </c>
      <c r="H61" s="12" t="s">
        <v>437</v>
      </c>
      <c r="I61" s="12" t="s">
        <v>390</v>
      </c>
      <c r="J61" s="12" t="s">
        <v>438</v>
      </c>
      <c r="K61" s="14" t="s">
        <v>439</v>
      </c>
      <c r="L61" s="15" t="s">
        <v>218</v>
      </c>
    </row>
    <row r="62" customFormat="false" ht="23.85" hidden="false" customHeight="false" outlineLevel="0" collapsed="false">
      <c r="A62" s="12" t="s">
        <v>440</v>
      </c>
      <c r="B62" s="12" t="s">
        <v>441</v>
      </c>
      <c r="C62" s="12" t="s">
        <v>442</v>
      </c>
      <c r="D62" s="12" t="s">
        <v>443</v>
      </c>
      <c r="E62" s="12" t="s">
        <v>403</v>
      </c>
      <c r="F62" s="12" t="s">
        <v>223</v>
      </c>
      <c r="G62" s="12" t="s">
        <v>444</v>
      </c>
      <c r="H62" s="12" t="s">
        <v>445</v>
      </c>
      <c r="I62" s="12" t="s">
        <v>382</v>
      </c>
      <c r="J62" s="12" t="s">
        <v>446</v>
      </c>
      <c r="K62" s="14" t="s">
        <v>447</v>
      </c>
      <c r="L62" s="15" t="s">
        <v>218</v>
      </c>
    </row>
    <row r="63" customFormat="false" ht="23.85" hidden="false" customHeight="false" outlineLevel="0" collapsed="false">
      <c r="A63" s="12" t="s">
        <v>448</v>
      </c>
      <c r="B63" s="12" t="s">
        <v>441</v>
      </c>
      <c r="C63" s="12" t="s">
        <v>442</v>
      </c>
      <c r="D63" s="12" t="s">
        <v>443</v>
      </c>
      <c r="E63" s="12" t="s">
        <v>403</v>
      </c>
      <c r="F63" s="12" t="s">
        <v>223</v>
      </c>
      <c r="G63" s="12" t="s">
        <v>444</v>
      </c>
      <c r="H63" s="12" t="s">
        <v>449</v>
      </c>
      <c r="I63" s="12" t="s">
        <v>382</v>
      </c>
      <c r="J63" s="12" t="s">
        <v>450</v>
      </c>
      <c r="K63" s="14" t="s">
        <v>451</v>
      </c>
      <c r="L63" s="15" t="s">
        <v>218</v>
      </c>
    </row>
    <row r="64" customFormat="false" ht="23.85" hidden="false" customHeight="false" outlineLevel="0" collapsed="false">
      <c r="A64" s="12" t="s">
        <v>452</v>
      </c>
      <c r="B64" s="12" t="s">
        <v>441</v>
      </c>
      <c r="C64" s="12" t="s">
        <v>442</v>
      </c>
      <c r="D64" s="12" t="s">
        <v>443</v>
      </c>
      <c r="E64" s="12" t="s">
        <v>403</v>
      </c>
      <c r="F64" s="12" t="s">
        <v>223</v>
      </c>
      <c r="G64" s="12" t="s">
        <v>453</v>
      </c>
      <c r="H64" s="12" t="s">
        <v>454</v>
      </c>
      <c r="I64" s="12" t="s">
        <v>382</v>
      </c>
      <c r="J64" s="12" t="s">
        <v>450</v>
      </c>
      <c r="K64" s="14" t="s">
        <v>455</v>
      </c>
      <c r="L64" s="15" t="s">
        <v>218</v>
      </c>
    </row>
    <row r="65" customFormat="false" ht="15" hidden="false" customHeight="false" outlineLevel="0" collapsed="false">
      <c r="A65" s="12" t="s">
        <v>456</v>
      </c>
      <c r="B65" s="12" t="s">
        <v>400</v>
      </c>
      <c r="C65" s="12" t="s">
        <v>401</v>
      </c>
      <c r="D65" s="12" t="s">
        <v>402</v>
      </c>
      <c r="E65" s="12" t="s">
        <v>457</v>
      </c>
      <c r="F65" s="12" t="s">
        <v>223</v>
      </c>
      <c r="G65" s="12" t="s">
        <v>404</v>
      </c>
      <c r="H65" s="12" t="s">
        <v>458</v>
      </c>
      <c r="I65" s="12" t="s">
        <v>337</v>
      </c>
      <c r="J65" s="12" t="s">
        <v>459</v>
      </c>
      <c r="K65" s="14" t="s">
        <v>460</v>
      </c>
      <c r="L65" s="15" t="s">
        <v>218</v>
      </c>
    </row>
    <row r="66" customFormat="false" ht="15" hidden="false" customHeight="false" outlineLevel="0" collapsed="false">
      <c r="A66" s="12" t="s">
        <v>461</v>
      </c>
      <c r="B66" s="12" t="s">
        <v>400</v>
      </c>
      <c r="C66" s="12" t="s">
        <v>401</v>
      </c>
      <c r="D66" s="12" t="s">
        <v>402</v>
      </c>
      <c r="E66" s="12" t="s">
        <v>457</v>
      </c>
      <c r="F66" s="12" t="s">
        <v>220</v>
      </c>
      <c r="G66" s="12" t="s">
        <v>404</v>
      </c>
      <c r="H66" s="12"/>
      <c r="I66" s="12" t="s">
        <v>215</v>
      </c>
      <c r="J66" s="12" t="s">
        <v>462</v>
      </c>
      <c r="K66" s="14" t="s">
        <v>463</v>
      </c>
      <c r="L66" s="15" t="s">
        <v>218</v>
      </c>
    </row>
    <row r="67" customFormat="false" ht="15" hidden="false" customHeight="false" outlineLevel="0" collapsed="false">
      <c r="A67" s="12" t="s">
        <v>464</v>
      </c>
      <c r="B67" s="12" t="s">
        <v>400</v>
      </c>
      <c r="C67" s="12" t="s">
        <v>401</v>
      </c>
      <c r="D67" s="12" t="s">
        <v>402</v>
      </c>
      <c r="E67" s="12" t="s">
        <v>457</v>
      </c>
      <c r="F67" s="12" t="s">
        <v>223</v>
      </c>
      <c r="G67" s="12" t="s">
        <v>404</v>
      </c>
      <c r="H67" s="12"/>
      <c r="I67" s="12" t="s">
        <v>337</v>
      </c>
      <c r="J67" s="12" t="s">
        <v>465</v>
      </c>
      <c r="K67" s="14" t="s">
        <v>466</v>
      </c>
      <c r="L67" s="15" t="s">
        <v>218</v>
      </c>
    </row>
    <row r="68" customFormat="false" ht="15" hidden="false" customHeight="false" outlineLevel="0" collapsed="false">
      <c r="A68" s="12" t="s">
        <v>467</v>
      </c>
      <c r="B68" s="12" t="s">
        <v>400</v>
      </c>
      <c r="C68" s="12" t="s">
        <v>401</v>
      </c>
      <c r="D68" s="12" t="s">
        <v>402</v>
      </c>
      <c r="E68" s="12" t="s">
        <v>457</v>
      </c>
      <c r="F68" s="12" t="s">
        <v>253</v>
      </c>
      <c r="G68" s="12" t="s">
        <v>404</v>
      </c>
      <c r="H68" s="12"/>
      <c r="I68" s="12" t="s">
        <v>337</v>
      </c>
      <c r="J68" s="12" t="s">
        <v>465</v>
      </c>
      <c r="K68" s="14" t="s">
        <v>468</v>
      </c>
      <c r="L68" s="15" t="s">
        <v>218</v>
      </c>
    </row>
    <row r="69" customFormat="false" ht="15" hidden="false" customHeight="false" outlineLevel="0" collapsed="false">
      <c r="A69" s="12" t="s">
        <v>469</v>
      </c>
      <c r="B69" s="12" t="s">
        <v>400</v>
      </c>
      <c r="C69" s="12" t="s">
        <v>401</v>
      </c>
      <c r="D69" s="12" t="s">
        <v>402</v>
      </c>
      <c r="E69" s="12" t="s">
        <v>457</v>
      </c>
      <c r="F69" s="12" t="s">
        <v>223</v>
      </c>
      <c r="G69" s="12" t="s">
        <v>404</v>
      </c>
      <c r="H69" s="12"/>
      <c r="I69" s="12" t="s">
        <v>337</v>
      </c>
      <c r="J69" s="12" t="s">
        <v>465</v>
      </c>
      <c r="K69" s="14" t="s">
        <v>470</v>
      </c>
      <c r="L69" s="15" t="s">
        <v>218</v>
      </c>
    </row>
    <row r="70" customFormat="false" ht="15" hidden="false" customHeight="false" outlineLevel="0" collapsed="false">
      <c r="A70" s="12" t="s">
        <v>471</v>
      </c>
      <c r="B70" s="12" t="s">
        <v>400</v>
      </c>
      <c r="C70" s="12" t="s">
        <v>401</v>
      </c>
      <c r="D70" s="12" t="s">
        <v>402</v>
      </c>
      <c r="E70" s="12" t="s">
        <v>457</v>
      </c>
      <c r="F70" s="12" t="s">
        <v>223</v>
      </c>
      <c r="G70" s="12" t="s">
        <v>404</v>
      </c>
      <c r="H70" s="12"/>
      <c r="I70" s="12" t="s">
        <v>337</v>
      </c>
      <c r="J70" s="12" t="s">
        <v>465</v>
      </c>
      <c r="K70" s="14" t="s">
        <v>472</v>
      </c>
      <c r="L70" s="15" t="s">
        <v>218</v>
      </c>
    </row>
    <row r="71" customFormat="false" ht="15" hidden="false" customHeight="false" outlineLevel="0" collapsed="false">
      <c r="A71" s="12" t="s">
        <v>473</v>
      </c>
      <c r="B71" s="12" t="s">
        <v>400</v>
      </c>
      <c r="C71" s="12" t="s">
        <v>401</v>
      </c>
      <c r="D71" s="12" t="s">
        <v>402</v>
      </c>
      <c r="E71" s="12" t="s">
        <v>457</v>
      </c>
      <c r="F71" s="12" t="s">
        <v>223</v>
      </c>
      <c r="G71" s="12" t="s">
        <v>404</v>
      </c>
      <c r="H71" s="12"/>
      <c r="I71" s="12" t="s">
        <v>337</v>
      </c>
      <c r="J71" s="12" t="s">
        <v>465</v>
      </c>
      <c r="K71" s="14" t="s">
        <v>474</v>
      </c>
      <c r="L71" s="15" t="s">
        <v>218</v>
      </c>
    </row>
    <row r="72" customFormat="false" ht="23.85" hidden="false" customHeight="false" outlineLevel="0" collapsed="false">
      <c r="A72" s="12" t="s">
        <v>475</v>
      </c>
      <c r="B72" s="12" t="s">
        <v>476</v>
      </c>
      <c r="C72" s="12" t="s">
        <v>477</v>
      </c>
      <c r="D72" s="12" t="s">
        <v>402</v>
      </c>
      <c r="E72" s="12" t="s">
        <v>478</v>
      </c>
      <c r="F72" s="12" t="s">
        <v>253</v>
      </c>
      <c r="G72" s="12" t="s">
        <v>404</v>
      </c>
      <c r="H72" s="12"/>
      <c r="I72" s="12" t="s">
        <v>479</v>
      </c>
      <c r="J72" s="12" t="s">
        <v>480</v>
      </c>
      <c r="K72" s="14" t="s">
        <v>481</v>
      </c>
      <c r="L72" s="15" t="s">
        <v>218</v>
      </c>
    </row>
    <row r="73" customFormat="false" ht="23.85" hidden="false" customHeight="false" outlineLevel="0" collapsed="false">
      <c r="A73" s="12" t="s">
        <v>482</v>
      </c>
      <c r="B73" s="12" t="s">
        <v>476</v>
      </c>
      <c r="C73" s="12" t="s">
        <v>477</v>
      </c>
      <c r="D73" s="12" t="s">
        <v>402</v>
      </c>
      <c r="E73" s="12" t="s">
        <v>478</v>
      </c>
      <c r="F73" s="12" t="s">
        <v>253</v>
      </c>
      <c r="G73" s="12" t="s">
        <v>404</v>
      </c>
      <c r="H73" s="12"/>
      <c r="I73" s="12" t="s">
        <v>479</v>
      </c>
      <c r="J73" s="12" t="s">
        <v>483</v>
      </c>
      <c r="K73" s="14" t="s">
        <v>484</v>
      </c>
      <c r="L73" s="15" t="s">
        <v>218</v>
      </c>
    </row>
    <row r="74" customFormat="false" ht="23.85" hidden="false" customHeight="false" outlineLevel="0" collapsed="false">
      <c r="A74" s="12" t="s">
        <v>485</v>
      </c>
      <c r="B74" s="12" t="s">
        <v>476</v>
      </c>
      <c r="C74" s="12" t="s">
        <v>477</v>
      </c>
      <c r="D74" s="12" t="s">
        <v>402</v>
      </c>
      <c r="E74" s="12" t="s">
        <v>478</v>
      </c>
      <c r="F74" s="12" t="s">
        <v>253</v>
      </c>
      <c r="G74" s="12" t="s">
        <v>404</v>
      </c>
      <c r="H74" s="12"/>
      <c r="I74" s="12" t="s">
        <v>479</v>
      </c>
      <c r="J74" s="12" t="s">
        <v>483</v>
      </c>
      <c r="K74" s="14" t="s">
        <v>486</v>
      </c>
      <c r="L74" s="15" t="s">
        <v>218</v>
      </c>
    </row>
    <row r="75" customFormat="false" ht="23.85" hidden="false" customHeight="false" outlineLevel="0" collapsed="false">
      <c r="A75" s="12" t="s">
        <v>487</v>
      </c>
      <c r="B75" s="12" t="s">
        <v>476</v>
      </c>
      <c r="C75" s="12" t="s">
        <v>477</v>
      </c>
      <c r="D75" s="12" t="s">
        <v>402</v>
      </c>
      <c r="E75" s="12" t="s">
        <v>488</v>
      </c>
      <c r="F75" s="12" t="s">
        <v>223</v>
      </c>
      <c r="G75" s="12" t="s">
        <v>404</v>
      </c>
      <c r="H75" s="12" t="s">
        <v>489</v>
      </c>
      <c r="I75" s="12" t="s">
        <v>479</v>
      </c>
      <c r="J75" s="12" t="s">
        <v>490</v>
      </c>
      <c r="K75" s="14" t="s">
        <v>491</v>
      </c>
      <c r="L75" s="15" t="s">
        <v>218</v>
      </c>
    </row>
    <row r="76" customFormat="false" ht="23.85" hidden="false" customHeight="false" outlineLevel="0" collapsed="false">
      <c r="A76" s="12" t="s">
        <v>492</v>
      </c>
      <c r="B76" s="12" t="s">
        <v>476</v>
      </c>
      <c r="C76" s="12" t="s">
        <v>477</v>
      </c>
      <c r="D76" s="12" t="s">
        <v>402</v>
      </c>
      <c r="E76" s="12" t="s">
        <v>488</v>
      </c>
      <c r="F76" s="12" t="s">
        <v>253</v>
      </c>
      <c r="G76" s="12" t="s">
        <v>404</v>
      </c>
      <c r="H76" s="12" t="s">
        <v>489</v>
      </c>
      <c r="I76" s="12" t="s">
        <v>479</v>
      </c>
      <c r="J76" s="12" t="s">
        <v>490</v>
      </c>
      <c r="K76" s="14" t="s">
        <v>493</v>
      </c>
      <c r="L76" s="15" t="s">
        <v>218</v>
      </c>
    </row>
    <row r="77" customFormat="false" ht="23.85" hidden="false" customHeight="false" outlineLevel="0" collapsed="false">
      <c r="A77" s="12" t="s">
        <v>494</v>
      </c>
      <c r="B77" s="12" t="s">
        <v>476</v>
      </c>
      <c r="C77" s="12" t="s">
        <v>477</v>
      </c>
      <c r="D77" s="12" t="s">
        <v>402</v>
      </c>
      <c r="E77" s="12" t="s">
        <v>488</v>
      </c>
      <c r="F77" s="12" t="s">
        <v>495</v>
      </c>
      <c r="G77" s="12" t="s">
        <v>404</v>
      </c>
      <c r="H77" s="12" t="s">
        <v>489</v>
      </c>
      <c r="I77" s="12" t="s">
        <v>479</v>
      </c>
      <c r="J77" s="12" t="s">
        <v>490</v>
      </c>
      <c r="K77" s="14" t="s">
        <v>496</v>
      </c>
      <c r="L77" s="15" t="s">
        <v>218</v>
      </c>
    </row>
    <row r="78" customFormat="false" ht="23.85" hidden="false" customHeight="false" outlineLevel="0" collapsed="false">
      <c r="A78" s="12" t="s">
        <v>497</v>
      </c>
      <c r="B78" s="12" t="s">
        <v>476</v>
      </c>
      <c r="C78" s="12" t="s">
        <v>477</v>
      </c>
      <c r="D78" s="12" t="s">
        <v>402</v>
      </c>
      <c r="E78" s="12" t="s">
        <v>488</v>
      </c>
      <c r="F78" s="12" t="s">
        <v>495</v>
      </c>
      <c r="G78" s="12" t="s">
        <v>404</v>
      </c>
      <c r="H78" s="12" t="s">
        <v>489</v>
      </c>
      <c r="I78" s="12" t="s">
        <v>479</v>
      </c>
      <c r="J78" s="12" t="s">
        <v>490</v>
      </c>
      <c r="K78" s="14" t="s">
        <v>498</v>
      </c>
      <c r="L78" s="15" t="s">
        <v>218</v>
      </c>
    </row>
    <row r="79" customFormat="false" ht="23.85" hidden="false" customHeight="false" outlineLevel="0" collapsed="false">
      <c r="A79" s="12" t="s">
        <v>499</v>
      </c>
      <c r="B79" s="12" t="s">
        <v>476</v>
      </c>
      <c r="C79" s="12" t="s">
        <v>477</v>
      </c>
      <c r="D79" s="12" t="s">
        <v>402</v>
      </c>
      <c r="E79" s="12" t="s">
        <v>500</v>
      </c>
      <c r="F79" s="12" t="s">
        <v>253</v>
      </c>
      <c r="G79" s="12" t="s">
        <v>404</v>
      </c>
      <c r="H79" s="12" t="s">
        <v>501</v>
      </c>
      <c r="I79" s="12" t="s">
        <v>479</v>
      </c>
      <c r="J79" s="12" t="s">
        <v>502</v>
      </c>
      <c r="K79" s="14" t="s">
        <v>503</v>
      </c>
      <c r="L79" s="15" t="s">
        <v>218</v>
      </c>
    </row>
    <row r="80" customFormat="false" ht="23.85" hidden="false" customHeight="false" outlineLevel="0" collapsed="false">
      <c r="A80" s="12" t="s">
        <v>504</v>
      </c>
      <c r="B80" s="12" t="s">
        <v>476</v>
      </c>
      <c r="C80" s="12" t="s">
        <v>477</v>
      </c>
      <c r="D80" s="12" t="s">
        <v>402</v>
      </c>
      <c r="E80" s="12" t="s">
        <v>500</v>
      </c>
      <c r="F80" s="12" t="s">
        <v>223</v>
      </c>
      <c r="G80" s="12" t="s">
        <v>404</v>
      </c>
      <c r="H80" s="12" t="s">
        <v>501</v>
      </c>
      <c r="I80" s="12" t="s">
        <v>479</v>
      </c>
      <c r="J80" s="12" t="s">
        <v>502</v>
      </c>
      <c r="K80" s="14" t="s">
        <v>505</v>
      </c>
      <c r="L80" s="15" t="s">
        <v>218</v>
      </c>
    </row>
    <row r="81" customFormat="false" ht="23.85" hidden="false" customHeight="false" outlineLevel="0" collapsed="false">
      <c r="A81" s="12" t="s">
        <v>506</v>
      </c>
      <c r="B81" s="12" t="s">
        <v>507</v>
      </c>
      <c r="C81" s="12" t="s">
        <v>508</v>
      </c>
      <c r="D81" s="12" t="s">
        <v>509</v>
      </c>
      <c r="E81" s="12" t="s">
        <v>510</v>
      </c>
      <c r="F81" s="12" t="s">
        <v>223</v>
      </c>
      <c r="G81" s="12" t="s">
        <v>404</v>
      </c>
      <c r="H81" s="12" t="s">
        <v>105</v>
      </c>
      <c r="I81" s="12" t="s">
        <v>390</v>
      </c>
      <c r="J81" s="12" t="s">
        <v>511</v>
      </c>
      <c r="K81" s="14" t="s">
        <v>512</v>
      </c>
      <c r="L81" s="15" t="s">
        <v>218</v>
      </c>
    </row>
    <row r="82" customFormat="false" ht="23.85" hidden="false" customHeight="false" outlineLevel="0" collapsed="false">
      <c r="A82" s="12" t="s">
        <v>513</v>
      </c>
      <c r="B82" s="12" t="s">
        <v>507</v>
      </c>
      <c r="C82" s="12" t="s">
        <v>508</v>
      </c>
      <c r="D82" s="12" t="s">
        <v>509</v>
      </c>
      <c r="E82" s="12" t="s">
        <v>514</v>
      </c>
      <c r="F82" s="12" t="s">
        <v>223</v>
      </c>
      <c r="G82" s="12" t="s">
        <v>404</v>
      </c>
      <c r="H82" s="12"/>
      <c r="I82" s="12" t="s">
        <v>390</v>
      </c>
      <c r="J82" s="12" t="s">
        <v>515</v>
      </c>
      <c r="K82" s="14" t="s">
        <v>516</v>
      </c>
      <c r="L82" s="15" t="s">
        <v>218</v>
      </c>
    </row>
    <row r="83" customFormat="false" ht="23.85" hidden="false" customHeight="false" outlineLevel="0" collapsed="false">
      <c r="A83" s="12" t="s">
        <v>517</v>
      </c>
      <c r="B83" s="12" t="s">
        <v>507</v>
      </c>
      <c r="C83" s="12" t="s">
        <v>508</v>
      </c>
      <c r="D83" s="12" t="s">
        <v>509</v>
      </c>
      <c r="E83" s="12" t="s">
        <v>514</v>
      </c>
      <c r="F83" s="12" t="s">
        <v>223</v>
      </c>
      <c r="G83" s="12" t="s">
        <v>404</v>
      </c>
      <c r="H83" s="12"/>
      <c r="I83" s="12" t="s">
        <v>390</v>
      </c>
      <c r="J83" s="12" t="s">
        <v>515</v>
      </c>
      <c r="K83" s="14" t="s">
        <v>518</v>
      </c>
      <c r="L83" s="15" t="s">
        <v>218</v>
      </c>
    </row>
    <row r="84" customFormat="false" ht="15" hidden="false" customHeight="false" outlineLevel="0" collapsed="false">
      <c r="A84" s="12" t="s">
        <v>519</v>
      </c>
      <c r="B84" s="12" t="s">
        <v>520</v>
      </c>
      <c r="C84" s="12" t="s">
        <v>521</v>
      </c>
      <c r="D84" s="12" t="s">
        <v>509</v>
      </c>
      <c r="E84" s="12" t="s">
        <v>522</v>
      </c>
      <c r="F84" s="12" t="s">
        <v>253</v>
      </c>
      <c r="G84" s="12" t="s">
        <v>404</v>
      </c>
      <c r="H84" s="12" t="s">
        <v>523</v>
      </c>
      <c r="I84" s="12" t="s">
        <v>524</v>
      </c>
      <c r="J84" s="12" t="s">
        <v>525</v>
      </c>
      <c r="K84" s="14" t="s">
        <v>526</v>
      </c>
      <c r="L84" s="15" t="s">
        <v>218</v>
      </c>
    </row>
    <row r="85" customFormat="false" ht="23.85" hidden="false" customHeight="false" outlineLevel="0" collapsed="false">
      <c r="A85" s="12" t="s">
        <v>527</v>
      </c>
      <c r="B85" s="12" t="s">
        <v>520</v>
      </c>
      <c r="C85" s="12" t="s">
        <v>521</v>
      </c>
      <c r="D85" s="12" t="s">
        <v>509</v>
      </c>
      <c r="E85" s="12" t="s">
        <v>522</v>
      </c>
      <c r="F85" s="12" t="s">
        <v>253</v>
      </c>
      <c r="G85" s="12" t="s">
        <v>404</v>
      </c>
      <c r="H85" s="12" t="s">
        <v>528</v>
      </c>
      <c r="I85" s="12" t="s">
        <v>390</v>
      </c>
      <c r="J85" s="12" t="s">
        <v>529</v>
      </c>
      <c r="K85" s="14" t="s">
        <v>530</v>
      </c>
      <c r="L85" s="15" t="s">
        <v>218</v>
      </c>
    </row>
    <row r="86" customFormat="false" ht="35.05" hidden="false" customHeight="false" outlineLevel="0" collapsed="false">
      <c r="A86" s="12" t="s">
        <v>531</v>
      </c>
      <c r="B86" s="12" t="s">
        <v>520</v>
      </c>
      <c r="C86" s="12" t="s">
        <v>521</v>
      </c>
      <c r="D86" s="12" t="s">
        <v>509</v>
      </c>
      <c r="E86" s="12" t="s">
        <v>522</v>
      </c>
      <c r="F86" s="12" t="s">
        <v>253</v>
      </c>
      <c r="G86" s="12" t="s">
        <v>404</v>
      </c>
      <c r="H86" s="12" t="s">
        <v>532</v>
      </c>
      <c r="I86" s="12" t="s">
        <v>390</v>
      </c>
      <c r="J86" s="12" t="s">
        <v>529</v>
      </c>
      <c r="K86" s="14" t="s">
        <v>533</v>
      </c>
      <c r="L86" s="15" t="s">
        <v>218</v>
      </c>
    </row>
    <row r="87" customFormat="false" ht="23.85" hidden="false" customHeight="false" outlineLevel="0" collapsed="false">
      <c r="A87" s="12" t="s">
        <v>534</v>
      </c>
      <c r="B87" s="12" t="s">
        <v>535</v>
      </c>
      <c r="C87" s="12" t="s">
        <v>536</v>
      </c>
      <c r="D87" s="12" t="s">
        <v>509</v>
      </c>
      <c r="E87" s="12" t="s">
        <v>537</v>
      </c>
      <c r="F87" s="12" t="s">
        <v>253</v>
      </c>
      <c r="G87" s="12" t="s">
        <v>404</v>
      </c>
      <c r="H87" s="12" t="s">
        <v>538</v>
      </c>
      <c r="I87" s="12" t="s">
        <v>337</v>
      </c>
      <c r="J87" s="12" t="s">
        <v>539</v>
      </c>
      <c r="K87" s="14" t="s">
        <v>540</v>
      </c>
      <c r="L87" s="15" t="s">
        <v>218</v>
      </c>
    </row>
    <row r="88" customFormat="false" ht="23.85" hidden="false" customHeight="false" outlineLevel="0" collapsed="false">
      <c r="A88" s="12" t="s">
        <v>541</v>
      </c>
      <c r="B88" s="12" t="s">
        <v>535</v>
      </c>
      <c r="C88" s="12" t="s">
        <v>536</v>
      </c>
      <c r="D88" s="12" t="s">
        <v>509</v>
      </c>
      <c r="E88" s="12" t="s">
        <v>537</v>
      </c>
      <c r="F88" s="12" t="s">
        <v>253</v>
      </c>
      <c r="G88" s="12" t="s">
        <v>404</v>
      </c>
      <c r="H88" s="12" t="s">
        <v>538</v>
      </c>
      <c r="I88" s="12" t="s">
        <v>337</v>
      </c>
      <c r="J88" s="12" t="s">
        <v>539</v>
      </c>
      <c r="K88" s="14" t="s">
        <v>542</v>
      </c>
      <c r="L88" s="15" t="s">
        <v>218</v>
      </c>
    </row>
    <row r="89" customFormat="false" ht="23.85" hidden="false" customHeight="false" outlineLevel="0" collapsed="false">
      <c r="A89" s="12" t="s">
        <v>543</v>
      </c>
      <c r="B89" s="12" t="s">
        <v>535</v>
      </c>
      <c r="C89" s="12" t="s">
        <v>536</v>
      </c>
      <c r="D89" s="12" t="s">
        <v>509</v>
      </c>
      <c r="E89" s="12" t="s">
        <v>537</v>
      </c>
      <c r="F89" s="12" t="s">
        <v>253</v>
      </c>
      <c r="G89" s="12" t="s">
        <v>404</v>
      </c>
      <c r="H89" s="12" t="s">
        <v>538</v>
      </c>
      <c r="I89" s="12" t="s">
        <v>337</v>
      </c>
      <c r="J89" s="12" t="s">
        <v>539</v>
      </c>
      <c r="K89" s="14" t="s">
        <v>468</v>
      </c>
      <c r="L89" s="15" t="s">
        <v>218</v>
      </c>
    </row>
    <row r="90" customFormat="false" ht="23.85" hidden="false" customHeight="false" outlineLevel="0" collapsed="false">
      <c r="A90" s="12" t="s">
        <v>544</v>
      </c>
      <c r="B90" s="12" t="s">
        <v>535</v>
      </c>
      <c r="C90" s="12" t="s">
        <v>536</v>
      </c>
      <c r="D90" s="12" t="s">
        <v>509</v>
      </c>
      <c r="E90" s="12" t="s">
        <v>537</v>
      </c>
      <c r="F90" s="12" t="s">
        <v>253</v>
      </c>
      <c r="G90" s="12" t="s">
        <v>404</v>
      </c>
      <c r="H90" s="12" t="s">
        <v>538</v>
      </c>
      <c r="I90" s="12" t="s">
        <v>337</v>
      </c>
      <c r="J90" s="12" t="s">
        <v>539</v>
      </c>
      <c r="K90" s="14" t="s">
        <v>545</v>
      </c>
      <c r="L90" s="15" t="s">
        <v>218</v>
      </c>
    </row>
    <row r="91" customFormat="false" ht="23.85" hidden="false" customHeight="false" outlineLevel="0" collapsed="false">
      <c r="A91" s="12" t="s">
        <v>546</v>
      </c>
      <c r="B91" s="12" t="s">
        <v>535</v>
      </c>
      <c r="C91" s="12" t="s">
        <v>536</v>
      </c>
      <c r="D91" s="12" t="s">
        <v>509</v>
      </c>
      <c r="E91" s="12" t="s">
        <v>537</v>
      </c>
      <c r="F91" s="12" t="s">
        <v>253</v>
      </c>
      <c r="G91" s="12" t="s">
        <v>404</v>
      </c>
      <c r="H91" s="12" t="s">
        <v>538</v>
      </c>
      <c r="I91" s="12" t="s">
        <v>337</v>
      </c>
      <c r="J91" s="12" t="s">
        <v>539</v>
      </c>
      <c r="K91" s="14" t="s">
        <v>547</v>
      </c>
      <c r="L91" s="15" t="s">
        <v>218</v>
      </c>
    </row>
    <row r="92" customFormat="false" ht="23.85" hidden="false" customHeight="false" outlineLevel="0" collapsed="false">
      <c r="A92" s="12" t="s">
        <v>548</v>
      </c>
      <c r="B92" s="12" t="s">
        <v>535</v>
      </c>
      <c r="C92" s="12" t="s">
        <v>536</v>
      </c>
      <c r="D92" s="12" t="s">
        <v>509</v>
      </c>
      <c r="E92" s="12" t="s">
        <v>549</v>
      </c>
      <c r="F92" s="12" t="s">
        <v>253</v>
      </c>
      <c r="G92" s="12" t="s">
        <v>404</v>
      </c>
      <c r="H92" s="12"/>
      <c r="I92" s="12" t="s">
        <v>337</v>
      </c>
      <c r="J92" s="12" t="s">
        <v>550</v>
      </c>
      <c r="K92" s="14" t="s">
        <v>551</v>
      </c>
      <c r="L92" s="15" t="s">
        <v>218</v>
      </c>
    </row>
    <row r="93" customFormat="false" ht="23.85" hidden="false" customHeight="false" outlineLevel="0" collapsed="false">
      <c r="A93" s="12" t="s">
        <v>552</v>
      </c>
      <c r="B93" s="12" t="s">
        <v>535</v>
      </c>
      <c r="C93" s="12" t="s">
        <v>536</v>
      </c>
      <c r="D93" s="12" t="s">
        <v>509</v>
      </c>
      <c r="E93" s="12" t="s">
        <v>549</v>
      </c>
      <c r="F93" s="12" t="s">
        <v>223</v>
      </c>
      <c r="G93" s="12" t="s">
        <v>404</v>
      </c>
      <c r="H93" s="12"/>
      <c r="I93" s="12" t="s">
        <v>337</v>
      </c>
      <c r="J93" s="12" t="s">
        <v>550</v>
      </c>
      <c r="K93" s="14" t="s">
        <v>553</v>
      </c>
      <c r="L93" s="15" t="s">
        <v>218</v>
      </c>
    </row>
    <row r="94" customFormat="false" ht="23.85" hidden="false" customHeight="false" outlineLevel="0" collapsed="false">
      <c r="A94" s="12" t="s">
        <v>554</v>
      </c>
      <c r="B94" s="12" t="s">
        <v>535</v>
      </c>
      <c r="C94" s="12" t="s">
        <v>536</v>
      </c>
      <c r="D94" s="12" t="s">
        <v>509</v>
      </c>
      <c r="E94" s="12" t="s">
        <v>549</v>
      </c>
      <c r="F94" s="12" t="s">
        <v>253</v>
      </c>
      <c r="G94" s="12" t="s">
        <v>404</v>
      </c>
      <c r="H94" s="12"/>
      <c r="I94" s="12" t="s">
        <v>337</v>
      </c>
      <c r="J94" s="12" t="s">
        <v>555</v>
      </c>
      <c r="K94" s="14" t="s">
        <v>556</v>
      </c>
      <c r="L94" s="15" t="s">
        <v>218</v>
      </c>
    </row>
    <row r="95" customFormat="false" ht="23.85" hidden="false" customHeight="false" outlineLevel="0" collapsed="false">
      <c r="A95" s="12" t="s">
        <v>557</v>
      </c>
      <c r="B95" s="12" t="s">
        <v>535</v>
      </c>
      <c r="C95" s="12" t="s">
        <v>536</v>
      </c>
      <c r="D95" s="12" t="s">
        <v>509</v>
      </c>
      <c r="E95" s="12" t="s">
        <v>549</v>
      </c>
      <c r="F95" s="12" t="s">
        <v>253</v>
      </c>
      <c r="G95" s="12" t="s">
        <v>404</v>
      </c>
      <c r="H95" s="12"/>
      <c r="I95" s="12" t="s">
        <v>337</v>
      </c>
      <c r="J95" s="12" t="s">
        <v>555</v>
      </c>
      <c r="K95" s="14" t="s">
        <v>558</v>
      </c>
      <c r="L95" s="15" t="s">
        <v>218</v>
      </c>
    </row>
    <row r="96" customFormat="false" ht="23.85" hidden="false" customHeight="false" outlineLevel="0" collapsed="false">
      <c r="A96" s="12" t="s">
        <v>559</v>
      </c>
      <c r="B96" s="12" t="s">
        <v>535</v>
      </c>
      <c r="C96" s="12" t="s">
        <v>536</v>
      </c>
      <c r="D96" s="12" t="s">
        <v>509</v>
      </c>
      <c r="E96" s="12" t="s">
        <v>549</v>
      </c>
      <c r="F96" s="12" t="s">
        <v>253</v>
      </c>
      <c r="G96" s="12" t="s">
        <v>404</v>
      </c>
      <c r="H96" s="12"/>
      <c r="I96" s="12" t="s">
        <v>337</v>
      </c>
      <c r="J96" s="12" t="s">
        <v>555</v>
      </c>
      <c r="K96" s="14" t="s">
        <v>560</v>
      </c>
      <c r="L96" s="15" t="s">
        <v>218</v>
      </c>
    </row>
    <row r="97" customFormat="false" ht="23.85" hidden="false" customHeight="false" outlineLevel="0" collapsed="false">
      <c r="A97" s="12" t="s">
        <v>561</v>
      </c>
      <c r="B97" s="12" t="s">
        <v>535</v>
      </c>
      <c r="C97" s="12" t="s">
        <v>536</v>
      </c>
      <c r="D97" s="12" t="s">
        <v>509</v>
      </c>
      <c r="E97" s="12" t="s">
        <v>549</v>
      </c>
      <c r="F97" s="12" t="s">
        <v>253</v>
      </c>
      <c r="G97" s="12" t="s">
        <v>404</v>
      </c>
      <c r="H97" s="12"/>
      <c r="I97" s="12" t="s">
        <v>337</v>
      </c>
      <c r="J97" s="12" t="s">
        <v>555</v>
      </c>
      <c r="K97" s="14" t="s">
        <v>562</v>
      </c>
      <c r="L97" s="15" t="s">
        <v>218</v>
      </c>
    </row>
    <row r="98" customFormat="false" ht="23.85" hidden="false" customHeight="false" outlineLevel="0" collapsed="false">
      <c r="A98" s="12" t="s">
        <v>563</v>
      </c>
      <c r="B98" s="12" t="s">
        <v>535</v>
      </c>
      <c r="C98" s="12" t="s">
        <v>536</v>
      </c>
      <c r="D98" s="12" t="s">
        <v>509</v>
      </c>
      <c r="E98" s="12" t="s">
        <v>549</v>
      </c>
      <c r="F98" s="12" t="s">
        <v>253</v>
      </c>
      <c r="G98" s="12" t="s">
        <v>404</v>
      </c>
      <c r="H98" s="12"/>
      <c r="I98" s="12" t="s">
        <v>337</v>
      </c>
      <c r="J98" s="12" t="s">
        <v>555</v>
      </c>
      <c r="K98" s="14" t="s">
        <v>564</v>
      </c>
      <c r="L98" s="15" t="s">
        <v>218</v>
      </c>
    </row>
    <row r="99" customFormat="false" ht="23.85" hidden="false" customHeight="false" outlineLevel="0" collapsed="false">
      <c r="A99" s="12" t="s">
        <v>565</v>
      </c>
      <c r="B99" s="12" t="s">
        <v>535</v>
      </c>
      <c r="C99" s="12" t="s">
        <v>536</v>
      </c>
      <c r="D99" s="12" t="s">
        <v>509</v>
      </c>
      <c r="E99" s="12" t="s">
        <v>549</v>
      </c>
      <c r="F99" s="12" t="s">
        <v>253</v>
      </c>
      <c r="G99" s="12" t="s">
        <v>404</v>
      </c>
      <c r="H99" s="12"/>
      <c r="I99" s="12" t="s">
        <v>337</v>
      </c>
      <c r="J99" s="12" t="s">
        <v>555</v>
      </c>
      <c r="K99" s="14" t="s">
        <v>566</v>
      </c>
      <c r="L99" s="15" t="s">
        <v>218</v>
      </c>
    </row>
    <row r="100" customFormat="false" ht="23.85" hidden="false" customHeight="false" outlineLevel="0" collapsed="false">
      <c r="A100" s="12" t="s">
        <v>567</v>
      </c>
      <c r="B100" s="12" t="s">
        <v>535</v>
      </c>
      <c r="C100" s="12" t="s">
        <v>536</v>
      </c>
      <c r="D100" s="12" t="s">
        <v>509</v>
      </c>
      <c r="E100" s="12" t="s">
        <v>549</v>
      </c>
      <c r="F100" s="12" t="s">
        <v>223</v>
      </c>
      <c r="G100" s="12" t="s">
        <v>404</v>
      </c>
      <c r="H100" s="12"/>
      <c r="I100" s="12" t="s">
        <v>337</v>
      </c>
      <c r="J100" s="12" t="s">
        <v>568</v>
      </c>
      <c r="K100" s="14" t="s">
        <v>569</v>
      </c>
      <c r="L100" s="15" t="s">
        <v>218</v>
      </c>
    </row>
    <row r="101" customFormat="false" ht="23.85" hidden="false" customHeight="false" outlineLevel="0" collapsed="false">
      <c r="A101" s="12" t="s">
        <v>570</v>
      </c>
      <c r="B101" s="12" t="s">
        <v>535</v>
      </c>
      <c r="C101" s="12" t="s">
        <v>536</v>
      </c>
      <c r="D101" s="12" t="s">
        <v>509</v>
      </c>
      <c r="E101" s="12" t="s">
        <v>571</v>
      </c>
      <c r="F101" s="12" t="s">
        <v>253</v>
      </c>
      <c r="G101" s="12" t="s">
        <v>404</v>
      </c>
      <c r="H101" s="12" t="s">
        <v>153</v>
      </c>
      <c r="I101" s="12" t="s">
        <v>337</v>
      </c>
      <c r="J101" s="12" t="s">
        <v>572</v>
      </c>
      <c r="K101" s="14" t="s">
        <v>573</v>
      </c>
      <c r="L101" s="15" t="s">
        <v>218</v>
      </c>
    </row>
    <row r="102" customFormat="false" ht="23.85" hidden="false" customHeight="false" outlineLevel="0" collapsed="false">
      <c r="A102" s="12" t="s">
        <v>574</v>
      </c>
      <c r="B102" s="12" t="s">
        <v>575</v>
      </c>
      <c r="C102" s="12" t="s">
        <v>576</v>
      </c>
      <c r="D102" s="12" t="s">
        <v>509</v>
      </c>
      <c r="E102" s="12" t="s">
        <v>577</v>
      </c>
      <c r="F102" s="12" t="s">
        <v>253</v>
      </c>
      <c r="G102" s="12" t="s">
        <v>404</v>
      </c>
      <c r="H102" s="12"/>
      <c r="I102" s="12" t="s">
        <v>390</v>
      </c>
      <c r="J102" s="12" t="s">
        <v>578</v>
      </c>
      <c r="K102" s="14" t="s">
        <v>579</v>
      </c>
      <c r="L102" s="15" t="s">
        <v>218</v>
      </c>
    </row>
    <row r="103" customFormat="false" ht="23.85" hidden="false" customHeight="false" outlineLevel="0" collapsed="false">
      <c r="A103" s="12" t="s">
        <v>580</v>
      </c>
      <c r="B103" s="12" t="s">
        <v>575</v>
      </c>
      <c r="C103" s="12" t="s">
        <v>576</v>
      </c>
      <c r="D103" s="12" t="s">
        <v>509</v>
      </c>
      <c r="E103" s="12" t="s">
        <v>581</v>
      </c>
      <c r="F103" s="12" t="s">
        <v>223</v>
      </c>
      <c r="G103" s="12" t="s">
        <v>404</v>
      </c>
      <c r="H103" s="12" t="s">
        <v>582</v>
      </c>
      <c r="I103" s="12" t="s">
        <v>390</v>
      </c>
      <c r="J103" s="12" t="s">
        <v>583</v>
      </c>
      <c r="K103" s="14" t="s">
        <v>584</v>
      </c>
      <c r="L103" s="15" t="s">
        <v>218</v>
      </c>
    </row>
    <row r="104" customFormat="false" ht="23.85" hidden="false" customHeight="false" outlineLevel="0" collapsed="false">
      <c r="A104" s="12" t="s">
        <v>585</v>
      </c>
      <c r="B104" s="12" t="s">
        <v>575</v>
      </c>
      <c r="C104" s="12" t="s">
        <v>576</v>
      </c>
      <c r="D104" s="12" t="s">
        <v>509</v>
      </c>
      <c r="E104" s="12" t="s">
        <v>581</v>
      </c>
      <c r="F104" s="12" t="s">
        <v>253</v>
      </c>
      <c r="G104" s="12" t="s">
        <v>404</v>
      </c>
      <c r="H104" s="12" t="s">
        <v>582</v>
      </c>
      <c r="I104" s="12" t="s">
        <v>390</v>
      </c>
      <c r="J104" s="12" t="s">
        <v>583</v>
      </c>
      <c r="K104" s="14" t="s">
        <v>586</v>
      </c>
      <c r="L104" s="15" t="s">
        <v>218</v>
      </c>
    </row>
    <row r="105" customFormat="false" ht="23.85" hidden="false" customHeight="false" outlineLevel="0" collapsed="false">
      <c r="A105" s="12" t="s">
        <v>587</v>
      </c>
      <c r="B105" s="12" t="s">
        <v>575</v>
      </c>
      <c r="C105" s="12" t="s">
        <v>576</v>
      </c>
      <c r="D105" s="12" t="s">
        <v>509</v>
      </c>
      <c r="E105" s="12" t="s">
        <v>581</v>
      </c>
      <c r="F105" s="12" t="s">
        <v>223</v>
      </c>
      <c r="G105" s="12" t="s">
        <v>404</v>
      </c>
      <c r="H105" s="12"/>
      <c r="I105" s="12" t="s">
        <v>390</v>
      </c>
      <c r="J105" s="12" t="s">
        <v>583</v>
      </c>
      <c r="K105" s="14" t="s">
        <v>588</v>
      </c>
      <c r="L105" s="15" t="s">
        <v>218</v>
      </c>
    </row>
    <row r="106" customFormat="false" ht="23.85" hidden="false" customHeight="false" outlineLevel="0" collapsed="false">
      <c r="A106" s="12" t="s">
        <v>589</v>
      </c>
      <c r="B106" s="12" t="s">
        <v>575</v>
      </c>
      <c r="C106" s="12" t="s">
        <v>576</v>
      </c>
      <c r="D106" s="12" t="s">
        <v>509</v>
      </c>
      <c r="E106" s="12" t="s">
        <v>581</v>
      </c>
      <c r="F106" s="12" t="s">
        <v>253</v>
      </c>
      <c r="G106" s="12" t="s">
        <v>404</v>
      </c>
      <c r="H106" s="12" t="s">
        <v>590</v>
      </c>
      <c r="I106" s="12" t="s">
        <v>591</v>
      </c>
      <c r="J106" s="12" t="s">
        <v>592</v>
      </c>
      <c r="K106" s="14" t="s">
        <v>593</v>
      </c>
      <c r="L106" s="15" t="s">
        <v>218</v>
      </c>
    </row>
    <row r="107" customFormat="false" ht="23.85" hidden="false" customHeight="false" outlineLevel="0" collapsed="false">
      <c r="A107" s="12" t="s">
        <v>594</v>
      </c>
      <c r="B107" s="12" t="s">
        <v>575</v>
      </c>
      <c r="C107" s="12" t="s">
        <v>576</v>
      </c>
      <c r="D107" s="12" t="s">
        <v>509</v>
      </c>
      <c r="E107" s="12" t="s">
        <v>595</v>
      </c>
      <c r="F107" s="12" t="s">
        <v>253</v>
      </c>
      <c r="G107" s="12" t="s">
        <v>404</v>
      </c>
      <c r="H107" s="12"/>
      <c r="I107" s="12" t="s">
        <v>390</v>
      </c>
      <c r="J107" s="12" t="s">
        <v>596</v>
      </c>
      <c r="K107" s="14" t="s">
        <v>597</v>
      </c>
      <c r="L107" s="15" t="s">
        <v>218</v>
      </c>
    </row>
    <row r="108" customFormat="false" ht="23.85" hidden="false" customHeight="false" outlineLevel="0" collapsed="false">
      <c r="A108" s="12" t="s">
        <v>598</v>
      </c>
      <c r="B108" s="12" t="s">
        <v>599</v>
      </c>
      <c r="C108" s="12" t="s">
        <v>600</v>
      </c>
      <c r="D108" s="12" t="s">
        <v>443</v>
      </c>
      <c r="E108" s="12" t="s">
        <v>601</v>
      </c>
      <c r="F108" s="12" t="s">
        <v>253</v>
      </c>
      <c r="G108" s="12" t="s">
        <v>404</v>
      </c>
      <c r="H108" s="12" t="s">
        <v>164</v>
      </c>
      <c r="I108" s="12" t="s">
        <v>215</v>
      </c>
      <c r="J108" s="12" t="s">
        <v>602</v>
      </c>
      <c r="K108" s="14" t="s">
        <v>603</v>
      </c>
      <c r="L108" s="15" t="s">
        <v>218</v>
      </c>
    </row>
    <row r="109" customFormat="false" ht="23.85" hidden="false" customHeight="false" outlineLevel="0" collapsed="false">
      <c r="A109" s="12" t="s">
        <v>604</v>
      </c>
      <c r="B109" s="12" t="s">
        <v>599</v>
      </c>
      <c r="C109" s="12" t="s">
        <v>600</v>
      </c>
      <c r="D109" s="12" t="s">
        <v>443</v>
      </c>
      <c r="E109" s="12" t="s">
        <v>605</v>
      </c>
      <c r="F109" s="12" t="s">
        <v>253</v>
      </c>
      <c r="G109" s="12" t="s">
        <v>404</v>
      </c>
      <c r="H109" s="12"/>
      <c r="I109" s="12" t="s">
        <v>215</v>
      </c>
      <c r="J109" s="12" t="s">
        <v>606</v>
      </c>
      <c r="K109" s="14" t="s">
        <v>607</v>
      </c>
      <c r="L109" s="15" t="s">
        <v>218</v>
      </c>
    </row>
    <row r="110" customFormat="false" ht="23.85" hidden="false" customHeight="false" outlineLevel="0" collapsed="false">
      <c r="A110" s="12" t="s">
        <v>608</v>
      </c>
      <c r="B110" s="12" t="s">
        <v>609</v>
      </c>
      <c r="C110" s="12" t="s">
        <v>610</v>
      </c>
      <c r="D110" s="12" t="s">
        <v>443</v>
      </c>
      <c r="E110" s="12" t="s">
        <v>611</v>
      </c>
      <c r="F110" s="12" t="s">
        <v>253</v>
      </c>
      <c r="G110" s="12" t="s">
        <v>404</v>
      </c>
      <c r="H110" s="12" t="s">
        <v>612</v>
      </c>
      <c r="I110" s="12" t="s">
        <v>390</v>
      </c>
      <c r="J110" s="12" t="s">
        <v>613</v>
      </c>
      <c r="K110" s="14" t="s">
        <v>614</v>
      </c>
      <c r="L110" s="15" t="s">
        <v>218</v>
      </c>
    </row>
    <row r="111" customFormat="false" ht="23.85" hidden="false" customHeight="false" outlineLevel="0" collapsed="false">
      <c r="A111" s="12" t="s">
        <v>615</v>
      </c>
      <c r="B111" s="12" t="s">
        <v>609</v>
      </c>
      <c r="C111" s="12" t="s">
        <v>610</v>
      </c>
      <c r="D111" s="12" t="s">
        <v>443</v>
      </c>
      <c r="E111" s="12" t="s">
        <v>616</v>
      </c>
      <c r="F111" s="12" t="s">
        <v>253</v>
      </c>
      <c r="G111" s="12" t="s">
        <v>404</v>
      </c>
      <c r="H111" s="12"/>
      <c r="I111" s="12" t="s">
        <v>390</v>
      </c>
      <c r="J111" s="12" t="s">
        <v>617</v>
      </c>
      <c r="K111" s="14" t="s">
        <v>618</v>
      </c>
      <c r="L111" s="15" t="s">
        <v>218</v>
      </c>
    </row>
    <row r="112" customFormat="false" ht="23.85" hidden="false" customHeight="false" outlineLevel="0" collapsed="false">
      <c r="A112" s="12" t="s">
        <v>619</v>
      </c>
      <c r="B112" s="12" t="s">
        <v>609</v>
      </c>
      <c r="C112" s="12" t="s">
        <v>610</v>
      </c>
      <c r="D112" s="12" t="s">
        <v>443</v>
      </c>
      <c r="E112" s="12" t="s">
        <v>616</v>
      </c>
      <c r="F112" s="12" t="s">
        <v>253</v>
      </c>
      <c r="G112" s="12" t="s">
        <v>404</v>
      </c>
      <c r="H112" s="12"/>
      <c r="I112" s="12" t="s">
        <v>390</v>
      </c>
      <c r="J112" s="12" t="s">
        <v>617</v>
      </c>
      <c r="K112" s="14" t="s">
        <v>620</v>
      </c>
      <c r="L112" s="15" t="s">
        <v>218</v>
      </c>
    </row>
    <row r="113" customFormat="false" ht="23.85" hidden="false" customHeight="false" outlineLevel="0" collapsed="false">
      <c r="A113" s="12" t="s">
        <v>621</v>
      </c>
      <c r="B113" s="12" t="s">
        <v>622</v>
      </c>
      <c r="C113" s="12" t="s">
        <v>623</v>
      </c>
      <c r="D113" s="12" t="s">
        <v>443</v>
      </c>
      <c r="E113" s="12" t="s">
        <v>624</v>
      </c>
      <c r="F113" s="12" t="s">
        <v>253</v>
      </c>
      <c r="G113" s="12" t="s">
        <v>625</v>
      </c>
      <c r="H113" s="12"/>
      <c r="I113" s="12" t="s">
        <v>337</v>
      </c>
      <c r="J113" s="12" t="s">
        <v>626</v>
      </c>
      <c r="K113" s="14" t="s">
        <v>627</v>
      </c>
      <c r="L113" s="15" t="s">
        <v>218</v>
      </c>
    </row>
    <row r="114" customFormat="false" ht="23.85" hidden="false" customHeight="false" outlineLevel="0" collapsed="false">
      <c r="A114" s="12" t="s">
        <v>628</v>
      </c>
      <c r="B114" s="12" t="s">
        <v>622</v>
      </c>
      <c r="C114" s="12" t="s">
        <v>623</v>
      </c>
      <c r="D114" s="12" t="s">
        <v>443</v>
      </c>
      <c r="E114" s="12" t="s">
        <v>624</v>
      </c>
      <c r="F114" s="12" t="s">
        <v>220</v>
      </c>
      <c r="G114" s="12" t="s">
        <v>625</v>
      </c>
      <c r="H114" s="12"/>
      <c r="I114" s="12" t="s">
        <v>337</v>
      </c>
      <c r="J114" s="12" t="s">
        <v>629</v>
      </c>
      <c r="K114" s="14" t="s">
        <v>630</v>
      </c>
      <c r="L114" s="15" t="s">
        <v>218</v>
      </c>
    </row>
    <row r="115" customFormat="false" ht="23.85" hidden="false" customHeight="false" outlineLevel="0" collapsed="false">
      <c r="A115" s="12" t="s">
        <v>631</v>
      </c>
      <c r="B115" s="12" t="s">
        <v>622</v>
      </c>
      <c r="C115" s="12" t="s">
        <v>623</v>
      </c>
      <c r="D115" s="12" t="s">
        <v>443</v>
      </c>
      <c r="E115" s="12" t="s">
        <v>624</v>
      </c>
      <c r="F115" s="12" t="s">
        <v>280</v>
      </c>
      <c r="G115" s="12" t="s">
        <v>632</v>
      </c>
      <c r="H115" s="12"/>
      <c r="I115" s="12" t="s">
        <v>633</v>
      </c>
      <c r="J115" s="12" t="s">
        <v>626</v>
      </c>
      <c r="K115" s="14" t="s">
        <v>634</v>
      </c>
      <c r="L115" s="15" t="s">
        <v>218</v>
      </c>
    </row>
    <row r="116" customFormat="false" ht="23.85" hidden="false" customHeight="false" outlineLevel="0" collapsed="false">
      <c r="A116" s="12" t="s">
        <v>635</v>
      </c>
      <c r="B116" s="12" t="s">
        <v>622</v>
      </c>
      <c r="C116" s="12" t="s">
        <v>623</v>
      </c>
      <c r="D116" s="12" t="s">
        <v>443</v>
      </c>
      <c r="E116" s="12" t="s">
        <v>624</v>
      </c>
      <c r="F116" s="12" t="s">
        <v>280</v>
      </c>
      <c r="G116" s="12" t="s">
        <v>632</v>
      </c>
      <c r="H116" s="12"/>
      <c r="I116" s="12" t="s">
        <v>633</v>
      </c>
      <c r="J116" s="12" t="s">
        <v>626</v>
      </c>
      <c r="K116" s="14" t="s">
        <v>636</v>
      </c>
      <c r="L116" s="15" t="s">
        <v>218</v>
      </c>
    </row>
    <row r="117" customFormat="false" ht="23.85" hidden="false" customHeight="false" outlineLevel="0" collapsed="false">
      <c r="A117" s="12" t="s">
        <v>637</v>
      </c>
      <c r="B117" s="12" t="s">
        <v>622</v>
      </c>
      <c r="C117" s="12" t="s">
        <v>623</v>
      </c>
      <c r="D117" s="12" t="s">
        <v>443</v>
      </c>
      <c r="E117" s="12" t="s">
        <v>624</v>
      </c>
      <c r="F117" s="12" t="s">
        <v>285</v>
      </c>
      <c r="G117" s="12" t="s">
        <v>632</v>
      </c>
      <c r="H117" s="12"/>
      <c r="I117" s="12" t="s">
        <v>633</v>
      </c>
      <c r="J117" s="12" t="s">
        <v>626</v>
      </c>
      <c r="K117" s="14" t="s">
        <v>638</v>
      </c>
      <c r="L117" s="15" t="s">
        <v>218</v>
      </c>
    </row>
    <row r="118" customFormat="false" ht="23.85" hidden="false" customHeight="false" outlineLevel="0" collapsed="false">
      <c r="A118" s="12" t="s">
        <v>639</v>
      </c>
      <c r="B118" s="12" t="s">
        <v>622</v>
      </c>
      <c r="C118" s="12" t="s">
        <v>623</v>
      </c>
      <c r="D118" s="12" t="s">
        <v>443</v>
      </c>
      <c r="E118" s="12" t="s">
        <v>624</v>
      </c>
      <c r="F118" s="12" t="s">
        <v>223</v>
      </c>
      <c r="G118" s="12" t="s">
        <v>632</v>
      </c>
      <c r="H118" s="12"/>
      <c r="I118" s="12" t="s">
        <v>633</v>
      </c>
      <c r="J118" s="12" t="s">
        <v>626</v>
      </c>
      <c r="K118" s="14" t="s">
        <v>640</v>
      </c>
      <c r="L118" s="15" t="s">
        <v>218</v>
      </c>
    </row>
    <row r="119" customFormat="false" ht="23.85" hidden="false" customHeight="false" outlineLevel="0" collapsed="false">
      <c r="A119" s="12" t="s">
        <v>641</v>
      </c>
      <c r="B119" s="12" t="s">
        <v>622</v>
      </c>
      <c r="C119" s="12" t="s">
        <v>623</v>
      </c>
      <c r="D119" s="12" t="s">
        <v>443</v>
      </c>
      <c r="E119" s="12" t="s">
        <v>624</v>
      </c>
      <c r="F119" s="12" t="s">
        <v>253</v>
      </c>
      <c r="G119" s="12" t="s">
        <v>632</v>
      </c>
      <c r="H119" s="12"/>
      <c r="I119" s="12" t="s">
        <v>633</v>
      </c>
      <c r="J119" s="12" t="s">
        <v>626</v>
      </c>
      <c r="K119" s="14" t="s">
        <v>642</v>
      </c>
      <c r="L119" s="15" t="s">
        <v>218</v>
      </c>
    </row>
    <row r="120" customFormat="false" ht="23.85" hidden="false" customHeight="false" outlineLevel="0" collapsed="false">
      <c r="A120" s="12" t="s">
        <v>643</v>
      </c>
      <c r="B120" s="12" t="s">
        <v>622</v>
      </c>
      <c r="C120" s="12" t="s">
        <v>623</v>
      </c>
      <c r="D120" s="12" t="s">
        <v>443</v>
      </c>
      <c r="E120" s="12" t="s">
        <v>624</v>
      </c>
      <c r="F120" s="12" t="s">
        <v>253</v>
      </c>
      <c r="G120" s="12" t="s">
        <v>632</v>
      </c>
      <c r="H120" s="12"/>
      <c r="I120" s="12" t="s">
        <v>633</v>
      </c>
      <c r="J120" s="12" t="s">
        <v>626</v>
      </c>
      <c r="K120" s="14" t="s">
        <v>644</v>
      </c>
      <c r="L120" s="15" t="s">
        <v>218</v>
      </c>
    </row>
    <row r="121" customFormat="false" ht="23.85" hidden="false" customHeight="false" outlineLevel="0" collapsed="false">
      <c r="A121" s="12" t="s">
        <v>645</v>
      </c>
      <c r="B121" s="12" t="s">
        <v>622</v>
      </c>
      <c r="C121" s="12" t="s">
        <v>623</v>
      </c>
      <c r="D121" s="12" t="s">
        <v>443</v>
      </c>
      <c r="E121" s="12" t="s">
        <v>624</v>
      </c>
      <c r="F121" s="12" t="s">
        <v>253</v>
      </c>
      <c r="G121" s="12" t="s">
        <v>632</v>
      </c>
      <c r="H121" s="12"/>
      <c r="I121" s="12" t="s">
        <v>633</v>
      </c>
      <c r="J121" s="12" t="s">
        <v>626</v>
      </c>
      <c r="K121" s="14" t="s">
        <v>646</v>
      </c>
      <c r="L121" s="15" t="s">
        <v>218</v>
      </c>
    </row>
    <row r="122" customFormat="false" ht="23.85" hidden="false" customHeight="false" outlineLevel="0" collapsed="false">
      <c r="A122" s="12" t="s">
        <v>647</v>
      </c>
      <c r="B122" s="12" t="s">
        <v>622</v>
      </c>
      <c r="C122" s="12" t="s">
        <v>623</v>
      </c>
      <c r="D122" s="12" t="s">
        <v>443</v>
      </c>
      <c r="E122" s="12" t="s">
        <v>624</v>
      </c>
      <c r="F122" s="12" t="s">
        <v>648</v>
      </c>
      <c r="G122" s="12" t="s">
        <v>649</v>
      </c>
      <c r="H122" s="12"/>
      <c r="I122" s="12" t="s">
        <v>633</v>
      </c>
      <c r="J122" s="12" t="s">
        <v>650</v>
      </c>
      <c r="K122" s="14" t="s">
        <v>651</v>
      </c>
      <c r="L122" s="15" t="s">
        <v>218</v>
      </c>
    </row>
    <row r="123" customFormat="false" ht="23.85" hidden="false" customHeight="false" outlineLevel="0" collapsed="false">
      <c r="A123" s="12" t="s">
        <v>652</v>
      </c>
      <c r="B123" s="12" t="s">
        <v>622</v>
      </c>
      <c r="C123" s="12" t="s">
        <v>623</v>
      </c>
      <c r="D123" s="12" t="s">
        <v>443</v>
      </c>
      <c r="E123" s="12" t="s">
        <v>624</v>
      </c>
      <c r="F123" s="12" t="s">
        <v>253</v>
      </c>
      <c r="G123" s="12" t="s">
        <v>649</v>
      </c>
      <c r="H123" s="12"/>
      <c r="I123" s="12" t="s">
        <v>633</v>
      </c>
      <c r="J123" s="12" t="s">
        <v>650</v>
      </c>
      <c r="K123" s="14" t="s">
        <v>653</v>
      </c>
      <c r="L123" s="15" t="s">
        <v>218</v>
      </c>
    </row>
    <row r="124" customFormat="false" ht="23.85" hidden="false" customHeight="false" outlineLevel="0" collapsed="false">
      <c r="A124" s="12" t="s">
        <v>654</v>
      </c>
      <c r="B124" s="12" t="s">
        <v>622</v>
      </c>
      <c r="C124" s="12" t="s">
        <v>623</v>
      </c>
      <c r="D124" s="12" t="s">
        <v>443</v>
      </c>
      <c r="E124" s="12" t="s">
        <v>624</v>
      </c>
      <c r="F124" s="12" t="s">
        <v>655</v>
      </c>
      <c r="G124" s="12" t="s">
        <v>649</v>
      </c>
      <c r="H124" s="12"/>
      <c r="I124" s="12" t="s">
        <v>633</v>
      </c>
      <c r="J124" s="12" t="s">
        <v>650</v>
      </c>
      <c r="K124" s="14" t="s">
        <v>656</v>
      </c>
      <c r="L124" s="15" t="s">
        <v>218</v>
      </c>
    </row>
    <row r="125" customFormat="false" ht="23.85" hidden="false" customHeight="false" outlineLevel="0" collapsed="false">
      <c r="A125" s="12" t="s">
        <v>657</v>
      </c>
      <c r="B125" s="12" t="s">
        <v>622</v>
      </c>
      <c r="C125" s="12" t="s">
        <v>623</v>
      </c>
      <c r="D125" s="12" t="s">
        <v>443</v>
      </c>
      <c r="E125" s="12" t="s">
        <v>624</v>
      </c>
      <c r="F125" s="12" t="s">
        <v>285</v>
      </c>
      <c r="G125" s="12" t="s">
        <v>649</v>
      </c>
      <c r="H125" s="12"/>
      <c r="I125" s="12" t="s">
        <v>633</v>
      </c>
      <c r="J125" s="12" t="s">
        <v>650</v>
      </c>
      <c r="K125" s="14" t="s">
        <v>658</v>
      </c>
      <c r="L125" s="15" t="s">
        <v>218</v>
      </c>
    </row>
    <row r="126" customFormat="false" ht="23.85" hidden="false" customHeight="false" outlineLevel="0" collapsed="false">
      <c r="A126" s="12" t="s">
        <v>659</v>
      </c>
      <c r="B126" s="12" t="s">
        <v>622</v>
      </c>
      <c r="C126" s="12" t="s">
        <v>623</v>
      </c>
      <c r="D126" s="12" t="s">
        <v>443</v>
      </c>
      <c r="E126" s="12" t="s">
        <v>624</v>
      </c>
      <c r="F126" s="12" t="s">
        <v>253</v>
      </c>
      <c r="G126" s="12" t="s">
        <v>649</v>
      </c>
      <c r="H126" s="12"/>
      <c r="I126" s="12" t="s">
        <v>633</v>
      </c>
      <c r="J126" s="12" t="s">
        <v>650</v>
      </c>
      <c r="K126" s="14" t="s">
        <v>660</v>
      </c>
      <c r="L126" s="15" t="s">
        <v>218</v>
      </c>
    </row>
    <row r="127" customFormat="false" ht="23.85" hidden="false" customHeight="false" outlineLevel="0" collapsed="false">
      <c r="A127" s="12" t="s">
        <v>661</v>
      </c>
      <c r="B127" s="12" t="s">
        <v>622</v>
      </c>
      <c r="C127" s="12" t="s">
        <v>623</v>
      </c>
      <c r="D127" s="12" t="s">
        <v>443</v>
      </c>
      <c r="E127" s="12" t="s">
        <v>624</v>
      </c>
      <c r="F127" s="12" t="s">
        <v>253</v>
      </c>
      <c r="G127" s="12" t="s">
        <v>649</v>
      </c>
      <c r="H127" s="12"/>
      <c r="I127" s="12" t="s">
        <v>633</v>
      </c>
      <c r="J127" s="12" t="s">
        <v>650</v>
      </c>
      <c r="K127" s="14" t="s">
        <v>662</v>
      </c>
      <c r="L127" s="15" t="s">
        <v>218</v>
      </c>
    </row>
    <row r="128" customFormat="false" ht="23.85" hidden="false" customHeight="false" outlineLevel="0" collapsed="false">
      <c r="A128" s="12" t="s">
        <v>663</v>
      </c>
      <c r="B128" s="12" t="s">
        <v>622</v>
      </c>
      <c r="C128" s="12" t="s">
        <v>623</v>
      </c>
      <c r="D128" s="12" t="s">
        <v>443</v>
      </c>
      <c r="E128" s="12" t="s">
        <v>624</v>
      </c>
      <c r="F128" s="12" t="s">
        <v>253</v>
      </c>
      <c r="G128" s="12" t="s">
        <v>649</v>
      </c>
      <c r="H128" s="12"/>
      <c r="I128" s="12" t="s">
        <v>633</v>
      </c>
      <c r="J128" s="12" t="s">
        <v>650</v>
      </c>
      <c r="K128" s="14" t="s">
        <v>664</v>
      </c>
      <c r="L128" s="15" t="s">
        <v>218</v>
      </c>
    </row>
    <row r="129" customFormat="false" ht="23.85" hidden="false" customHeight="false" outlineLevel="0" collapsed="false">
      <c r="A129" s="12" t="s">
        <v>665</v>
      </c>
      <c r="B129" s="12" t="s">
        <v>622</v>
      </c>
      <c r="C129" s="12" t="s">
        <v>623</v>
      </c>
      <c r="D129" s="12" t="s">
        <v>443</v>
      </c>
      <c r="E129" s="12" t="s">
        <v>624</v>
      </c>
      <c r="F129" s="12" t="s">
        <v>280</v>
      </c>
      <c r="G129" s="12" t="s">
        <v>649</v>
      </c>
      <c r="H129" s="12"/>
      <c r="I129" s="12" t="s">
        <v>633</v>
      </c>
      <c r="J129" s="12" t="s">
        <v>650</v>
      </c>
      <c r="K129" s="14" t="s">
        <v>666</v>
      </c>
      <c r="L129" s="15" t="s">
        <v>218</v>
      </c>
    </row>
    <row r="130" customFormat="false" ht="23.85" hidden="false" customHeight="false" outlineLevel="0" collapsed="false">
      <c r="A130" s="12" t="s">
        <v>667</v>
      </c>
      <c r="B130" s="12" t="s">
        <v>622</v>
      </c>
      <c r="C130" s="12" t="s">
        <v>623</v>
      </c>
      <c r="D130" s="12" t="s">
        <v>443</v>
      </c>
      <c r="E130" s="12" t="s">
        <v>624</v>
      </c>
      <c r="F130" s="12" t="s">
        <v>223</v>
      </c>
      <c r="G130" s="12" t="s">
        <v>649</v>
      </c>
      <c r="H130" s="12"/>
      <c r="I130" s="12" t="s">
        <v>633</v>
      </c>
      <c r="J130" s="12" t="s">
        <v>650</v>
      </c>
      <c r="K130" s="14" t="s">
        <v>668</v>
      </c>
      <c r="L130" s="15" t="s">
        <v>218</v>
      </c>
    </row>
    <row r="131" customFormat="false" ht="23.85" hidden="false" customHeight="false" outlineLevel="0" collapsed="false">
      <c r="A131" s="12" t="s">
        <v>667</v>
      </c>
      <c r="B131" s="12" t="s">
        <v>622</v>
      </c>
      <c r="C131" s="12" t="s">
        <v>623</v>
      </c>
      <c r="D131" s="12" t="s">
        <v>443</v>
      </c>
      <c r="E131" s="12" t="s">
        <v>624</v>
      </c>
      <c r="F131" s="12" t="s">
        <v>280</v>
      </c>
      <c r="G131" s="12" t="s">
        <v>649</v>
      </c>
      <c r="H131" s="12"/>
      <c r="I131" s="12" t="s">
        <v>633</v>
      </c>
      <c r="J131" s="12" t="s">
        <v>650</v>
      </c>
      <c r="K131" s="14" t="s">
        <v>669</v>
      </c>
      <c r="L131" s="15" t="s">
        <v>218</v>
      </c>
    </row>
    <row r="132" customFormat="false" ht="23.85" hidden="false" customHeight="false" outlineLevel="0" collapsed="false">
      <c r="A132" s="12" t="s">
        <v>670</v>
      </c>
      <c r="B132" s="12" t="s">
        <v>622</v>
      </c>
      <c r="C132" s="12" t="s">
        <v>623</v>
      </c>
      <c r="D132" s="12" t="s">
        <v>443</v>
      </c>
      <c r="E132" s="12" t="s">
        <v>624</v>
      </c>
      <c r="F132" s="12" t="s">
        <v>285</v>
      </c>
      <c r="G132" s="12" t="s">
        <v>649</v>
      </c>
      <c r="H132" s="12"/>
      <c r="I132" s="12" t="s">
        <v>633</v>
      </c>
      <c r="J132" s="12" t="s">
        <v>650</v>
      </c>
      <c r="K132" s="14" t="s">
        <v>671</v>
      </c>
      <c r="L132" s="15" t="s">
        <v>218</v>
      </c>
    </row>
    <row r="133" customFormat="false" ht="23.85" hidden="false" customHeight="false" outlineLevel="0" collapsed="false">
      <c r="A133" s="12" t="s">
        <v>672</v>
      </c>
      <c r="B133" s="12" t="s">
        <v>622</v>
      </c>
      <c r="C133" s="12" t="s">
        <v>623</v>
      </c>
      <c r="D133" s="12" t="s">
        <v>443</v>
      </c>
      <c r="E133" s="12" t="s">
        <v>624</v>
      </c>
      <c r="F133" s="12" t="s">
        <v>223</v>
      </c>
      <c r="G133" s="12" t="s">
        <v>649</v>
      </c>
      <c r="H133" s="12"/>
      <c r="I133" s="12" t="s">
        <v>633</v>
      </c>
      <c r="J133" s="12" t="s">
        <v>650</v>
      </c>
      <c r="K133" s="14" t="s">
        <v>673</v>
      </c>
      <c r="L133" s="15" t="s">
        <v>218</v>
      </c>
    </row>
    <row r="134" customFormat="false" ht="23.85" hidden="false" customHeight="false" outlineLevel="0" collapsed="false">
      <c r="A134" s="12" t="s">
        <v>674</v>
      </c>
      <c r="B134" s="12" t="s">
        <v>622</v>
      </c>
      <c r="C134" s="12" t="s">
        <v>623</v>
      </c>
      <c r="D134" s="12" t="s">
        <v>443</v>
      </c>
      <c r="E134" s="12" t="s">
        <v>624</v>
      </c>
      <c r="F134" s="12" t="s">
        <v>220</v>
      </c>
      <c r="G134" s="12" t="s">
        <v>649</v>
      </c>
      <c r="H134" s="12"/>
      <c r="I134" s="12" t="s">
        <v>633</v>
      </c>
      <c r="J134" s="12" t="s">
        <v>629</v>
      </c>
      <c r="K134" s="14" t="s">
        <v>675</v>
      </c>
      <c r="L134" s="15" t="s">
        <v>218</v>
      </c>
    </row>
    <row r="135" customFormat="false" ht="23.85" hidden="false" customHeight="false" outlineLevel="0" collapsed="false">
      <c r="A135" s="12" t="s">
        <v>676</v>
      </c>
      <c r="B135" s="12" t="s">
        <v>622</v>
      </c>
      <c r="C135" s="12" t="s">
        <v>623</v>
      </c>
      <c r="D135" s="12" t="s">
        <v>443</v>
      </c>
      <c r="E135" s="12" t="s">
        <v>624</v>
      </c>
      <c r="F135" s="12" t="s">
        <v>253</v>
      </c>
      <c r="G135" s="12" t="s">
        <v>677</v>
      </c>
      <c r="H135" s="12"/>
      <c r="I135" s="12" t="s">
        <v>633</v>
      </c>
      <c r="J135" s="12" t="s">
        <v>678</v>
      </c>
      <c r="K135" s="14" t="s">
        <v>679</v>
      </c>
      <c r="L135" s="15" t="s">
        <v>218</v>
      </c>
    </row>
    <row r="136" customFormat="false" ht="23.85" hidden="false" customHeight="false" outlineLevel="0" collapsed="false">
      <c r="A136" s="12" t="s">
        <v>680</v>
      </c>
      <c r="B136" s="12" t="s">
        <v>622</v>
      </c>
      <c r="C136" s="12" t="s">
        <v>623</v>
      </c>
      <c r="D136" s="12" t="s">
        <v>443</v>
      </c>
      <c r="E136" s="12" t="s">
        <v>681</v>
      </c>
      <c r="F136" s="12" t="s">
        <v>223</v>
      </c>
      <c r="G136" s="12" t="s">
        <v>625</v>
      </c>
      <c r="H136" s="12"/>
      <c r="I136" s="12" t="s">
        <v>633</v>
      </c>
      <c r="J136" s="12" t="s">
        <v>682</v>
      </c>
      <c r="K136" s="14" t="s">
        <v>683</v>
      </c>
      <c r="L136" s="15" t="s">
        <v>218</v>
      </c>
    </row>
    <row r="137" customFormat="false" ht="23.85" hidden="false" customHeight="false" outlineLevel="0" collapsed="false">
      <c r="A137" s="12" t="s">
        <v>684</v>
      </c>
      <c r="B137" s="12" t="s">
        <v>622</v>
      </c>
      <c r="C137" s="12" t="s">
        <v>623</v>
      </c>
      <c r="D137" s="12" t="s">
        <v>443</v>
      </c>
      <c r="E137" s="12" t="s">
        <v>681</v>
      </c>
      <c r="F137" s="12" t="s">
        <v>685</v>
      </c>
      <c r="G137" s="12" t="s">
        <v>625</v>
      </c>
      <c r="H137" s="12"/>
      <c r="I137" s="12" t="s">
        <v>633</v>
      </c>
      <c r="J137" s="12" t="s">
        <v>682</v>
      </c>
      <c r="K137" s="14" t="s">
        <v>686</v>
      </c>
      <c r="L137" s="15" t="s">
        <v>218</v>
      </c>
    </row>
    <row r="138" customFormat="false" ht="23.85" hidden="false" customHeight="false" outlineLevel="0" collapsed="false">
      <c r="A138" s="12" t="s">
        <v>687</v>
      </c>
      <c r="B138" s="12" t="s">
        <v>441</v>
      </c>
      <c r="C138" s="12" t="s">
        <v>442</v>
      </c>
      <c r="D138" s="12" t="s">
        <v>443</v>
      </c>
      <c r="E138" s="12" t="s">
        <v>681</v>
      </c>
      <c r="F138" s="12" t="s">
        <v>253</v>
      </c>
      <c r="G138" s="12" t="s">
        <v>688</v>
      </c>
      <c r="H138" s="12"/>
      <c r="I138" s="12" t="s">
        <v>382</v>
      </c>
      <c r="J138" s="12" t="s">
        <v>689</v>
      </c>
      <c r="K138" s="14" t="s">
        <v>690</v>
      </c>
      <c r="L138" s="15" t="s">
        <v>218</v>
      </c>
    </row>
    <row r="139" customFormat="false" ht="23.85" hidden="false" customHeight="false" outlineLevel="0" collapsed="false">
      <c r="A139" s="12" t="s">
        <v>691</v>
      </c>
      <c r="B139" s="12" t="s">
        <v>441</v>
      </c>
      <c r="C139" s="12" t="s">
        <v>442</v>
      </c>
      <c r="D139" s="12" t="s">
        <v>443</v>
      </c>
      <c r="E139" s="12" t="s">
        <v>681</v>
      </c>
      <c r="F139" s="12" t="s">
        <v>280</v>
      </c>
      <c r="G139" s="12" t="s">
        <v>688</v>
      </c>
      <c r="H139" s="12"/>
      <c r="I139" s="12" t="s">
        <v>382</v>
      </c>
      <c r="J139" s="12" t="s">
        <v>689</v>
      </c>
      <c r="K139" s="14" t="s">
        <v>692</v>
      </c>
      <c r="L139" s="15" t="s">
        <v>218</v>
      </c>
    </row>
    <row r="140" customFormat="false" ht="23.85" hidden="false" customHeight="false" outlineLevel="0" collapsed="false">
      <c r="A140" s="12" t="s">
        <v>693</v>
      </c>
      <c r="B140" s="12" t="s">
        <v>694</v>
      </c>
      <c r="C140" s="12" t="s">
        <v>695</v>
      </c>
      <c r="D140" s="12" t="s">
        <v>696</v>
      </c>
      <c r="E140" s="12" t="s">
        <v>697</v>
      </c>
      <c r="F140" s="12" t="s">
        <v>220</v>
      </c>
      <c r="G140" s="12" t="s">
        <v>698</v>
      </c>
      <c r="H140" s="12"/>
      <c r="I140" s="12" t="s">
        <v>382</v>
      </c>
      <c r="J140" s="12" t="s">
        <v>699</v>
      </c>
      <c r="K140" s="14" t="s">
        <v>700</v>
      </c>
      <c r="L140" s="15" t="s">
        <v>218</v>
      </c>
    </row>
    <row r="141" customFormat="false" ht="15" hidden="false" customHeight="false" outlineLevel="0" collapsed="false">
      <c r="A141" s="12" t="s">
        <v>701</v>
      </c>
      <c r="B141" s="12" t="s">
        <v>694</v>
      </c>
      <c r="C141" s="12" t="s">
        <v>695</v>
      </c>
      <c r="D141" s="12" t="s">
        <v>696</v>
      </c>
      <c r="E141" s="12" t="s">
        <v>697</v>
      </c>
      <c r="F141" s="12" t="s">
        <v>220</v>
      </c>
      <c r="G141" s="12" t="s">
        <v>698</v>
      </c>
      <c r="H141" s="12"/>
      <c r="I141" s="12" t="s">
        <v>382</v>
      </c>
      <c r="J141" s="12" t="s">
        <v>702</v>
      </c>
      <c r="K141" s="14" t="s">
        <v>703</v>
      </c>
      <c r="L141" s="15" t="s">
        <v>218</v>
      </c>
    </row>
    <row r="142" customFormat="false" ht="15" hidden="false" customHeight="false" outlineLevel="0" collapsed="false">
      <c r="A142" s="12" t="s">
        <v>704</v>
      </c>
      <c r="B142" s="12" t="s">
        <v>694</v>
      </c>
      <c r="C142" s="12" t="s">
        <v>695</v>
      </c>
      <c r="D142" s="12" t="s">
        <v>696</v>
      </c>
      <c r="E142" s="12" t="s">
        <v>697</v>
      </c>
      <c r="F142" s="12" t="s">
        <v>280</v>
      </c>
      <c r="G142" s="12" t="s">
        <v>698</v>
      </c>
      <c r="H142" s="12"/>
      <c r="I142" s="12" t="s">
        <v>382</v>
      </c>
      <c r="J142" s="12" t="s">
        <v>705</v>
      </c>
      <c r="K142" s="14" t="s">
        <v>706</v>
      </c>
      <c r="L142" s="15" t="s">
        <v>218</v>
      </c>
    </row>
    <row r="143" customFormat="false" ht="15" hidden="false" customHeight="false" outlineLevel="0" collapsed="false">
      <c r="A143" s="12" t="s">
        <v>707</v>
      </c>
      <c r="B143" s="12" t="s">
        <v>694</v>
      </c>
      <c r="C143" s="12" t="s">
        <v>695</v>
      </c>
      <c r="D143" s="12" t="s">
        <v>696</v>
      </c>
      <c r="E143" s="12" t="s">
        <v>697</v>
      </c>
      <c r="F143" s="12" t="s">
        <v>280</v>
      </c>
      <c r="G143" s="12" t="s">
        <v>698</v>
      </c>
      <c r="H143" s="12"/>
      <c r="I143" s="12" t="s">
        <v>382</v>
      </c>
      <c r="J143" s="12" t="s">
        <v>705</v>
      </c>
      <c r="K143" s="14" t="s">
        <v>708</v>
      </c>
      <c r="L143" s="15" t="s">
        <v>218</v>
      </c>
    </row>
    <row r="144" customFormat="false" ht="15" hidden="false" customHeight="false" outlineLevel="0" collapsed="false">
      <c r="A144" s="12" t="s">
        <v>709</v>
      </c>
      <c r="B144" s="12" t="s">
        <v>694</v>
      </c>
      <c r="C144" s="12" t="s">
        <v>695</v>
      </c>
      <c r="D144" s="12" t="s">
        <v>696</v>
      </c>
      <c r="E144" s="12" t="s">
        <v>697</v>
      </c>
      <c r="F144" s="12" t="s">
        <v>280</v>
      </c>
      <c r="G144" s="12" t="s">
        <v>698</v>
      </c>
      <c r="H144" s="12"/>
      <c r="I144" s="12" t="s">
        <v>382</v>
      </c>
      <c r="J144" s="12" t="s">
        <v>705</v>
      </c>
      <c r="K144" s="14" t="s">
        <v>710</v>
      </c>
      <c r="L144" s="15" t="s">
        <v>218</v>
      </c>
    </row>
    <row r="145" customFormat="false" ht="23.85" hidden="false" customHeight="false" outlineLevel="0" collapsed="false">
      <c r="A145" s="12" t="s">
        <v>711</v>
      </c>
      <c r="B145" s="12" t="s">
        <v>694</v>
      </c>
      <c r="C145" s="12" t="s">
        <v>695</v>
      </c>
      <c r="D145" s="12" t="s">
        <v>696</v>
      </c>
      <c r="E145" s="12" t="s">
        <v>697</v>
      </c>
      <c r="F145" s="12" t="s">
        <v>220</v>
      </c>
      <c r="G145" s="12" t="s">
        <v>712</v>
      </c>
      <c r="H145" s="12"/>
      <c r="I145" s="12" t="s">
        <v>382</v>
      </c>
      <c r="J145" s="12" t="s">
        <v>713</v>
      </c>
      <c r="K145" s="14" t="s">
        <v>714</v>
      </c>
      <c r="L145" s="15" t="s">
        <v>218</v>
      </c>
    </row>
    <row r="146" customFormat="false" ht="15" hidden="false" customHeight="false" outlineLevel="0" collapsed="false">
      <c r="A146" s="12" t="s">
        <v>715</v>
      </c>
      <c r="B146" s="12" t="s">
        <v>694</v>
      </c>
      <c r="C146" s="12" t="s">
        <v>695</v>
      </c>
      <c r="D146" s="12" t="s">
        <v>696</v>
      </c>
      <c r="E146" s="12" t="s">
        <v>697</v>
      </c>
      <c r="F146" s="12" t="s">
        <v>253</v>
      </c>
      <c r="G146" s="12" t="s">
        <v>716</v>
      </c>
      <c r="H146" s="12"/>
      <c r="I146" s="12" t="s">
        <v>382</v>
      </c>
      <c r="J146" s="12" t="s">
        <v>717</v>
      </c>
      <c r="K146" s="14" t="s">
        <v>718</v>
      </c>
      <c r="L146" s="15" t="s">
        <v>218</v>
      </c>
    </row>
    <row r="147" customFormat="false" ht="15" hidden="false" customHeight="false" outlineLevel="0" collapsed="false">
      <c r="A147" s="12" t="s">
        <v>719</v>
      </c>
      <c r="B147" s="12" t="s">
        <v>694</v>
      </c>
      <c r="C147" s="12" t="s">
        <v>695</v>
      </c>
      <c r="D147" s="12" t="s">
        <v>696</v>
      </c>
      <c r="E147" s="12" t="s">
        <v>697</v>
      </c>
      <c r="F147" s="12" t="s">
        <v>280</v>
      </c>
      <c r="G147" s="12" t="s">
        <v>716</v>
      </c>
      <c r="H147" s="12"/>
      <c r="I147" s="12" t="s">
        <v>382</v>
      </c>
      <c r="J147" s="12" t="s">
        <v>717</v>
      </c>
      <c r="K147" s="14" t="s">
        <v>720</v>
      </c>
      <c r="L147" s="15" t="s">
        <v>218</v>
      </c>
    </row>
    <row r="148" customFormat="false" ht="15" hidden="false" customHeight="false" outlineLevel="0" collapsed="false">
      <c r="A148" s="12" t="s">
        <v>721</v>
      </c>
      <c r="B148" s="12" t="s">
        <v>694</v>
      </c>
      <c r="C148" s="12" t="s">
        <v>695</v>
      </c>
      <c r="D148" s="12" t="s">
        <v>696</v>
      </c>
      <c r="E148" s="12" t="s">
        <v>697</v>
      </c>
      <c r="F148" s="12" t="s">
        <v>280</v>
      </c>
      <c r="G148" s="12" t="s">
        <v>716</v>
      </c>
      <c r="H148" s="12"/>
      <c r="I148" s="12" t="s">
        <v>382</v>
      </c>
      <c r="J148" s="12" t="s">
        <v>717</v>
      </c>
      <c r="K148" s="14" t="s">
        <v>722</v>
      </c>
      <c r="L148" s="15" t="s">
        <v>218</v>
      </c>
    </row>
    <row r="149" customFormat="false" ht="35.05" hidden="false" customHeight="false" outlineLevel="0" collapsed="false">
      <c r="A149" s="12" t="s">
        <v>723</v>
      </c>
      <c r="B149" s="12" t="s">
        <v>724</v>
      </c>
      <c r="C149" s="12" t="s">
        <v>725</v>
      </c>
      <c r="D149" s="12" t="s">
        <v>696</v>
      </c>
      <c r="E149" s="12" t="s">
        <v>726</v>
      </c>
      <c r="F149" s="12" t="s">
        <v>253</v>
      </c>
      <c r="G149" s="12" t="s">
        <v>727</v>
      </c>
      <c r="H149" s="12"/>
      <c r="I149" s="12" t="s">
        <v>390</v>
      </c>
      <c r="J149" s="12" t="s">
        <v>728</v>
      </c>
      <c r="K149" s="14" t="s">
        <v>729</v>
      </c>
      <c r="L149" s="15" t="s">
        <v>218</v>
      </c>
    </row>
  </sheetData>
  <autoFilter ref="A3:L149"/>
  <hyperlinks>
    <hyperlink ref="L4" r:id="rId1" display="open"/>
    <hyperlink ref="L5" r:id="rId2" display="open"/>
    <hyperlink ref="L6" r:id="rId3" display="open"/>
    <hyperlink ref="L7" r:id="rId4" display="open"/>
    <hyperlink ref="L8" r:id="rId5" display="open"/>
    <hyperlink ref="L9" r:id="rId6" display="open"/>
    <hyperlink ref="L10" r:id="rId7" display="open"/>
    <hyperlink ref="L11" r:id="rId8" display="open"/>
    <hyperlink ref="L12" r:id="rId9" display="open"/>
    <hyperlink ref="L13" r:id="rId10" display="open"/>
    <hyperlink ref="L14" r:id="rId11" display="open"/>
    <hyperlink ref="L15" r:id="rId12" display="open"/>
    <hyperlink ref="L16" r:id="rId13" display="open"/>
    <hyperlink ref="L17" r:id="rId14" display="open"/>
    <hyperlink ref="L18" r:id="rId15" display="open"/>
    <hyperlink ref="L19" r:id="rId16" display="open"/>
    <hyperlink ref="L20" r:id="rId17" display="open"/>
    <hyperlink ref="L21" r:id="rId18" display="open"/>
    <hyperlink ref="L22" r:id="rId19" display="open"/>
    <hyperlink ref="L23" r:id="rId20" display="open"/>
    <hyperlink ref="L24" r:id="rId21" display="open"/>
    <hyperlink ref="L25" r:id="rId22" display="open"/>
    <hyperlink ref="L26" r:id="rId23" display="open"/>
    <hyperlink ref="L27" r:id="rId24" display="open"/>
    <hyperlink ref="L28" r:id="rId25" display="open"/>
    <hyperlink ref="L29" r:id="rId26" display="open"/>
    <hyperlink ref="L30" r:id="rId27" display="open"/>
    <hyperlink ref="L31" r:id="rId28" display="open"/>
    <hyperlink ref="L32" r:id="rId29" display="open"/>
    <hyperlink ref="L33" r:id="rId30" display="open"/>
    <hyperlink ref="L34" r:id="rId31" display="open"/>
    <hyperlink ref="L35" r:id="rId32" display="open"/>
    <hyperlink ref="L36" r:id="rId33" display="open"/>
    <hyperlink ref="L37" r:id="rId34" display="open"/>
    <hyperlink ref="L38" r:id="rId35" display="open"/>
    <hyperlink ref="L39" r:id="rId36" display="open"/>
    <hyperlink ref="L40" r:id="rId37" display="open"/>
    <hyperlink ref="L41" r:id="rId38" display="open"/>
    <hyperlink ref="L42" r:id="rId39" display="open"/>
    <hyperlink ref="L43" r:id="rId40" display="open"/>
    <hyperlink ref="L44" r:id="rId41" display="open"/>
    <hyperlink ref="L45" r:id="rId42" display="open"/>
    <hyperlink ref="L46" r:id="rId43" display="open"/>
    <hyperlink ref="L47" r:id="rId44" display="open"/>
    <hyperlink ref="L48" r:id="rId45" display="open"/>
    <hyperlink ref="L49" r:id="rId46" display="open"/>
    <hyperlink ref="L50" r:id="rId47" display="open"/>
    <hyperlink ref="L51" r:id="rId48" display="open"/>
    <hyperlink ref="L52" r:id="rId49" display="open"/>
    <hyperlink ref="L53" r:id="rId50" display="open"/>
    <hyperlink ref="L54" r:id="rId51" display="open"/>
    <hyperlink ref="L55" r:id="rId52" display="open"/>
    <hyperlink ref="L56" r:id="rId53" display="open"/>
    <hyperlink ref="L57" r:id="rId54" display="open"/>
    <hyperlink ref="L58" r:id="rId55" display="open"/>
    <hyperlink ref="L59" r:id="rId56" display="open"/>
    <hyperlink ref="L60" r:id="rId57" display="open"/>
    <hyperlink ref="L61" r:id="rId58" display="open"/>
    <hyperlink ref="L62" r:id="rId59" display="open"/>
    <hyperlink ref="L63" r:id="rId60" display="open"/>
    <hyperlink ref="L64" r:id="rId61" display="open"/>
    <hyperlink ref="L65" r:id="rId62" display="open"/>
    <hyperlink ref="L66" r:id="rId63" display="open"/>
    <hyperlink ref="L67" r:id="rId64" display="open"/>
    <hyperlink ref="L68" r:id="rId65" display="open"/>
    <hyperlink ref="L69" r:id="rId66" display="open"/>
    <hyperlink ref="L70" r:id="rId67" display="open"/>
    <hyperlink ref="L71" r:id="rId68" display="open"/>
    <hyperlink ref="L72" r:id="rId69" display="open"/>
    <hyperlink ref="L73" r:id="rId70" display="open"/>
    <hyperlink ref="L74" r:id="rId71" display="open"/>
    <hyperlink ref="L75" r:id="rId72" display="open"/>
    <hyperlink ref="L76" r:id="rId73" display="open"/>
    <hyperlink ref="L77" r:id="rId74" display="open"/>
    <hyperlink ref="L78" r:id="rId75" display="open"/>
    <hyperlink ref="L79" r:id="rId76" display="open"/>
    <hyperlink ref="L80" r:id="rId77" display="open"/>
    <hyperlink ref="L81" r:id="rId78" display="open"/>
    <hyperlink ref="L82" r:id="rId79" display="open"/>
    <hyperlink ref="L83" r:id="rId80" display="open"/>
    <hyperlink ref="L84" r:id="rId81" display="open"/>
    <hyperlink ref="L85" r:id="rId82" display="open"/>
    <hyperlink ref="L86" r:id="rId83" display="open"/>
    <hyperlink ref="L87" r:id="rId84" display="open"/>
    <hyperlink ref="L88" r:id="rId85" display="open"/>
    <hyperlink ref="L89" r:id="rId86" display="open"/>
    <hyperlink ref="L90" r:id="rId87" display="open"/>
    <hyperlink ref="L91" r:id="rId88" display="open"/>
    <hyperlink ref="L92" r:id="rId89" display="open"/>
    <hyperlink ref="L93" r:id="rId90" display="open"/>
    <hyperlink ref="L94" r:id="rId91" display="open"/>
    <hyperlink ref="L95" r:id="rId92" display="open"/>
    <hyperlink ref="L96" r:id="rId93" display="open"/>
    <hyperlink ref="L97" r:id="rId94" display="open"/>
    <hyperlink ref="L98" r:id="rId95" display="open"/>
    <hyperlink ref="L99" r:id="rId96" display="open"/>
    <hyperlink ref="L100" r:id="rId97" display="open"/>
    <hyperlink ref="L101" r:id="rId98" display="open"/>
    <hyperlink ref="L102" r:id="rId99" display="open"/>
    <hyperlink ref="L103" r:id="rId100" display="open"/>
    <hyperlink ref="L104" r:id="rId101" display="open"/>
    <hyperlink ref="L105" r:id="rId102" display="open"/>
    <hyperlink ref="L106" r:id="rId103" display="open"/>
    <hyperlink ref="L107" r:id="rId104" display="open"/>
    <hyperlink ref="L108" r:id="rId105" display="open"/>
    <hyperlink ref="L109" r:id="rId106" display="open"/>
    <hyperlink ref="L110" r:id="rId107" display="open"/>
    <hyperlink ref="L111" r:id="rId108" display="open"/>
    <hyperlink ref="L112" r:id="rId109" display="open"/>
    <hyperlink ref="L113" r:id="rId110" display="open"/>
    <hyperlink ref="L114" r:id="rId111" display="open"/>
    <hyperlink ref="L115" r:id="rId112" display="open"/>
    <hyperlink ref="L116" r:id="rId113" display="open"/>
    <hyperlink ref="L117" r:id="rId114" display="open"/>
    <hyperlink ref="L118" r:id="rId115" display="open"/>
    <hyperlink ref="L119" r:id="rId116" display="open"/>
    <hyperlink ref="L120" r:id="rId117" display="open"/>
    <hyperlink ref="L121" r:id="rId118" display="open"/>
    <hyperlink ref="L122" r:id="rId119" display="open"/>
    <hyperlink ref="L123" r:id="rId120" display="open"/>
    <hyperlink ref="L124" r:id="rId121" display="open"/>
    <hyperlink ref="L125" r:id="rId122" display="open"/>
    <hyperlink ref="L126" r:id="rId123" display="open"/>
    <hyperlink ref="L127" r:id="rId124" display="open"/>
    <hyperlink ref="L128" r:id="rId125" display="open"/>
    <hyperlink ref="L129" r:id="rId126" display="open"/>
    <hyperlink ref="L130" r:id="rId127" display="open"/>
    <hyperlink ref="L131" r:id="rId128" display="open"/>
    <hyperlink ref="L132" r:id="rId129" display="open"/>
    <hyperlink ref="L133" r:id="rId130" display="open"/>
    <hyperlink ref="L134" r:id="rId131" display="open"/>
    <hyperlink ref="L135" r:id="rId132" display="open"/>
    <hyperlink ref="L136" r:id="rId133" display="open"/>
    <hyperlink ref="L137" r:id="rId134" display="open"/>
    <hyperlink ref="L138" r:id="rId135" display="open"/>
    <hyperlink ref="L139" r:id="rId136" display="open"/>
    <hyperlink ref="L140" r:id="rId137" display="open"/>
    <hyperlink ref="L141" r:id="rId138" display="open"/>
    <hyperlink ref="L142" r:id="rId139" display="open"/>
    <hyperlink ref="L143" r:id="rId140" display="open"/>
    <hyperlink ref="L144" r:id="rId141" display="open"/>
    <hyperlink ref="L145" r:id="rId142" display="open"/>
    <hyperlink ref="L146" r:id="rId143" display="open"/>
    <hyperlink ref="L147" r:id="rId144" display="open"/>
    <hyperlink ref="L148" r:id="rId145" display="open"/>
    <hyperlink ref="L149" r:id="rId146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0" t="s">
        <v>730</v>
      </c>
    </row>
    <row r="2" customFormat="false" ht="15" hidden="false" customHeight="false" outlineLevel="0" collapsed="false">
      <c r="A2" s="5" t="s">
        <v>731</v>
      </c>
    </row>
    <row r="3" customFormat="false" ht="30" hidden="false" customHeight="true" outlineLevel="0" collapsed="false">
      <c r="A3" s="11" t="s">
        <v>732</v>
      </c>
      <c r="B3" s="11" t="s">
        <v>733</v>
      </c>
      <c r="C3" s="11" t="s">
        <v>734</v>
      </c>
      <c r="D3" s="11" t="s">
        <v>735</v>
      </c>
      <c r="E3" s="11" t="s">
        <v>203</v>
      </c>
      <c r="F3" s="11" t="s">
        <v>26</v>
      </c>
      <c r="G3" s="11" t="s">
        <v>736</v>
      </c>
      <c r="H3" s="11" t="s">
        <v>737</v>
      </c>
    </row>
    <row r="4" customFormat="false" ht="15" hidden="false" customHeight="false" outlineLevel="0" collapsed="false">
      <c r="A4" s="12" t="s">
        <v>214</v>
      </c>
      <c r="B4" s="12" t="s">
        <v>738</v>
      </c>
      <c r="C4" s="12" t="s">
        <v>739</v>
      </c>
      <c r="D4" s="12" t="s">
        <v>36</v>
      </c>
      <c r="E4" s="12" t="s">
        <v>740</v>
      </c>
      <c r="F4" s="12" t="s">
        <v>741</v>
      </c>
      <c r="G4" s="12" t="s">
        <v>742</v>
      </c>
      <c r="H4" s="12"/>
    </row>
    <row r="5" customFormat="false" ht="35.05" hidden="false" customHeight="false" outlineLevel="0" collapsed="false">
      <c r="A5" s="12" t="s">
        <v>291</v>
      </c>
      <c r="B5" s="12" t="s">
        <v>743</v>
      </c>
      <c r="C5" s="12" t="s">
        <v>744</v>
      </c>
      <c r="D5" s="12" t="s">
        <v>36</v>
      </c>
      <c r="E5" s="12" t="s">
        <v>745</v>
      </c>
      <c r="F5" s="12" t="s">
        <v>746</v>
      </c>
      <c r="G5" s="12" t="s">
        <v>742</v>
      </c>
      <c r="H5" s="12"/>
    </row>
    <row r="6" customFormat="false" ht="15" hidden="false" customHeight="false" outlineLevel="0" collapsed="false">
      <c r="A6" s="12" t="s">
        <v>747</v>
      </c>
      <c r="B6" s="12" t="s">
        <v>748</v>
      </c>
      <c r="C6" s="12" t="s">
        <v>749</v>
      </c>
      <c r="D6" s="12" t="s">
        <v>36</v>
      </c>
      <c r="E6" s="12" t="s">
        <v>215</v>
      </c>
      <c r="F6" s="12" t="s">
        <v>750</v>
      </c>
      <c r="G6" s="12" t="s">
        <v>742</v>
      </c>
      <c r="H6" s="12"/>
    </row>
    <row r="7" customFormat="false" ht="35.05" hidden="false" customHeight="false" outlineLevel="0" collapsed="false">
      <c r="A7" s="12" t="s">
        <v>751</v>
      </c>
      <c r="B7" s="12" t="s">
        <v>743</v>
      </c>
      <c r="C7" s="12" t="s">
        <v>752</v>
      </c>
      <c r="D7" s="12" t="s">
        <v>36</v>
      </c>
      <c r="E7" s="12" t="s">
        <v>337</v>
      </c>
      <c r="F7" s="12" t="s">
        <v>753</v>
      </c>
      <c r="G7" s="12" t="s">
        <v>754</v>
      </c>
      <c r="H7" s="12" t="s">
        <v>755</v>
      </c>
    </row>
    <row r="8" customFormat="false" ht="35.05" hidden="false" customHeight="false" outlineLevel="0" collapsed="false">
      <c r="A8" s="12" t="s">
        <v>756</v>
      </c>
      <c r="B8" s="12" t="s">
        <v>743</v>
      </c>
      <c r="C8" s="12" t="s">
        <v>757</v>
      </c>
      <c r="D8" s="12" t="s">
        <v>39</v>
      </c>
      <c r="E8" s="12" t="s">
        <v>745</v>
      </c>
      <c r="F8" s="12" t="s">
        <v>758</v>
      </c>
      <c r="G8" s="12" t="s">
        <v>759</v>
      </c>
      <c r="H8" s="12" t="s">
        <v>760</v>
      </c>
    </row>
    <row r="9" customFormat="false" ht="35.05" hidden="false" customHeight="false" outlineLevel="0" collapsed="false">
      <c r="A9" s="12" t="s">
        <v>761</v>
      </c>
      <c r="B9" s="12" t="s">
        <v>748</v>
      </c>
      <c r="C9" s="12" t="s">
        <v>762</v>
      </c>
      <c r="D9" s="12" t="s">
        <v>38</v>
      </c>
      <c r="E9" s="12" t="s">
        <v>337</v>
      </c>
      <c r="F9" s="12" t="s">
        <v>763</v>
      </c>
      <c r="G9" s="12" t="s">
        <v>754</v>
      </c>
      <c r="H9" s="12" t="s">
        <v>764</v>
      </c>
    </row>
    <row r="10" customFormat="false" ht="35.05" hidden="false" customHeight="false" outlineLevel="0" collapsed="false">
      <c r="A10" s="12" t="s">
        <v>612</v>
      </c>
      <c r="B10" s="12" t="s">
        <v>743</v>
      </c>
      <c r="C10" s="12" t="s">
        <v>765</v>
      </c>
      <c r="D10" s="12" t="s">
        <v>38</v>
      </c>
      <c r="E10" s="12" t="s">
        <v>337</v>
      </c>
      <c r="F10" s="12" t="s">
        <v>766</v>
      </c>
      <c r="G10" s="12" t="s">
        <v>767</v>
      </c>
      <c r="H10" s="12" t="s">
        <v>768</v>
      </c>
    </row>
    <row r="11" customFormat="false" ht="46.25" hidden="false" customHeight="false" outlineLevel="0" collapsed="false">
      <c r="A11" s="12" t="s">
        <v>394</v>
      </c>
      <c r="B11" s="12" t="s">
        <v>743</v>
      </c>
      <c r="C11" s="12" t="s">
        <v>769</v>
      </c>
      <c r="D11" s="12" t="s">
        <v>38</v>
      </c>
      <c r="E11" s="12" t="s">
        <v>390</v>
      </c>
      <c r="F11" s="12" t="s">
        <v>770</v>
      </c>
      <c r="G11" s="12" t="s">
        <v>771</v>
      </c>
      <c r="H11" s="12" t="s">
        <v>772</v>
      </c>
    </row>
    <row r="12" customFormat="false" ht="46.25" hidden="false" customHeight="false" outlineLevel="0" collapsed="false">
      <c r="A12" s="12" t="s">
        <v>773</v>
      </c>
      <c r="B12" s="12" t="s">
        <v>738</v>
      </c>
      <c r="C12" s="12" t="s">
        <v>774</v>
      </c>
      <c r="D12" s="12" t="s">
        <v>37</v>
      </c>
      <c r="E12" s="12" t="s">
        <v>390</v>
      </c>
      <c r="F12" s="12" t="s">
        <v>775</v>
      </c>
      <c r="G12" s="12" t="s">
        <v>771</v>
      </c>
      <c r="H12" s="12" t="s">
        <v>776</v>
      </c>
    </row>
    <row r="13" customFormat="false" ht="46.25" hidden="false" customHeight="false" outlineLevel="0" collapsed="false">
      <c r="A13" s="12" t="s">
        <v>777</v>
      </c>
      <c r="B13" s="12" t="s">
        <v>738</v>
      </c>
      <c r="C13" s="12" t="s">
        <v>778</v>
      </c>
      <c r="D13" s="12" t="s">
        <v>37</v>
      </c>
      <c r="E13" s="12" t="s">
        <v>390</v>
      </c>
      <c r="F13" s="12" t="s">
        <v>779</v>
      </c>
      <c r="G13" s="12" t="s">
        <v>771</v>
      </c>
      <c r="H13" s="12" t="s">
        <v>780</v>
      </c>
    </row>
    <row r="14" customFormat="false" ht="46.25" hidden="false" customHeight="false" outlineLevel="0" collapsed="false">
      <c r="A14" s="12" t="s">
        <v>781</v>
      </c>
      <c r="B14" s="12" t="s">
        <v>743</v>
      </c>
      <c r="C14" s="12" t="s">
        <v>782</v>
      </c>
      <c r="D14" s="12" t="s">
        <v>37</v>
      </c>
      <c r="E14" s="12" t="s">
        <v>390</v>
      </c>
      <c r="F14" s="12" t="s">
        <v>783</v>
      </c>
      <c r="G14" s="12" t="s">
        <v>771</v>
      </c>
      <c r="H14" s="12" t="s">
        <v>780</v>
      </c>
    </row>
    <row r="15" customFormat="false" ht="46.25" hidden="false" customHeight="false" outlineLevel="0" collapsed="false">
      <c r="A15" s="12" t="s">
        <v>784</v>
      </c>
      <c r="B15" s="12" t="s">
        <v>738</v>
      </c>
      <c r="C15" s="12" t="s">
        <v>785</v>
      </c>
      <c r="D15" s="12" t="s">
        <v>37</v>
      </c>
      <c r="E15" s="12" t="s">
        <v>390</v>
      </c>
      <c r="F15" s="12" t="s">
        <v>783</v>
      </c>
      <c r="G15" s="12" t="s">
        <v>771</v>
      </c>
      <c r="H15" s="12" t="s">
        <v>780</v>
      </c>
    </row>
    <row r="16" customFormat="false" ht="23.85" hidden="false" customHeight="false" outlineLevel="0" collapsed="false">
      <c r="A16" s="12" t="s">
        <v>786</v>
      </c>
      <c r="B16" s="12" t="s">
        <v>743</v>
      </c>
      <c r="C16" s="12" t="s">
        <v>787</v>
      </c>
      <c r="D16" s="12" t="s">
        <v>36</v>
      </c>
      <c r="E16" s="12" t="s">
        <v>390</v>
      </c>
      <c r="F16" s="12" t="s">
        <v>788</v>
      </c>
      <c r="G16" s="12" t="s">
        <v>742</v>
      </c>
      <c r="H16" s="12"/>
    </row>
    <row r="17" customFormat="false" ht="23.85" hidden="false" customHeight="false" outlineLevel="0" collapsed="false">
      <c r="A17" s="12" t="s">
        <v>789</v>
      </c>
      <c r="B17" s="12" t="s">
        <v>738</v>
      </c>
      <c r="C17" s="12" t="s">
        <v>790</v>
      </c>
      <c r="D17" s="12" t="s">
        <v>36</v>
      </c>
      <c r="E17" s="12" t="s">
        <v>390</v>
      </c>
      <c r="F17" s="12" t="s">
        <v>791</v>
      </c>
      <c r="G17" s="12" t="s">
        <v>742</v>
      </c>
      <c r="H17" s="12"/>
    </row>
    <row r="18" customFormat="false" ht="15" hidden="false" customHeight="false" outlineLevel="0" collapsed="false">
      <c r="A18" s="12" t="s">
        <v>792</v>
      </c>
      <c r="B18" s="12" t="s">
        <v>743</v>
      </c>
      <c r="C18" s="12" t="s">
        <v>793</v>
      </c>
      <c r="D18" s="12" t="s">
        <v>36</v>
      </c>
      <c r="E18" s="12" t="s">
        <v>390</v>
      </c>
      <c r="F18" s="12" t="s">
        <v>794</v>
      </c>
      <c r="G18" s="12" t="s">
        <v>742</v>
      </c>
      <c r="H18" s="12"/>
    </row>
    <row r="19" customFormat="false" ht="35.05" hidden="false" customHeight="false" outlineLevel="0" collapsed="false">
      <c r="A19" s="12" t="s">
        <v>168</v>
      </c>
      <c r="B19" s="12" t="s">
        <v>743</v>
      </c>
      <c r="C19" s="12" t="s">
        <v>795</v>
      </c>
      <c r="D19" s="12" t="s">
        <v>40</v>
      </c>
      <c r="E19" s="12" t="s">
        <v>390</v>
      </c>
      <c r="F19" s="12" t="s">
        <v>796</v>
      </c>
      <c r="G19" s="12" t="s">
        <v>767</v>
      </c>
      <c r="H19" s="12" t="s">
        <v>797</v>
      </c>
    </row>
    <row r="20" customFormat="false" ht="23.85" hidden="false" customHeight="false" outlineLevel="0" collapsed="false">
      <c r="A20" s="12" t="s">
        <v>82</v>
      </c>
      <c r="B20" s="12" t="s">
        <v>738</v>
      </c>
      <c r="C20" s="12" t="s">
        <v>798</v>
      </c>
      <c r="D20" s="12" t="s">
        <v>36</v>
      </c>
      <c r="E20" s="12" t="s">
        <v>390</v>
      </c>
      <c r="F20" s="12" t="s">
        <v>799</v>
      </c>
      <c r="G20" s="12" t="s">
        <v>742</v>
      </c>
      <c r="H20" s="12"/>
    </row>
    <row r="21" customFormat="false" ht="23.85" hidden="false" customHeight="false" outlineLevel="0" collapsed="false">
      <c r="A21" s="12" t="s">
        <v>800</v>
      </c>
      <c r="B21" s="12" t="s">
        <v>738</v>
      </c>
      <c r="C21" s="12" t="s">
        <v>801</v>
      </c>
      <c r="D21" s="12" t="s">
        <v>36</v>
      </c>
      <c r="E21" s="12" t="s">
        <v>390</v>
      </c>
      <c r="F21" s="12" t="s">
        <v>802</v>
      </c>
      <c r="G21" s="12" t="s">
        <v>742</v>
      </c>
      <c r="H21" s="12" t="s">
        <v>803</v>
      </c>
    </row>
    <row r="22" customFormat="false" ht="15" hidden="false" customHeight="false" outlineLevel="0" collapsed="false">
      <c r="A22" s="12" t="s">
        <v>804</v>
      </c>
      <c r="B22" s="12" t="s">
        <v>738</v>
      </c>
      <c r="C22" s="12" t="s">
        <v>805</v>
      </c>
      <c r="D22" s="12" t="s">
        <v>36</v>
      </c>
      <c r="E22" s="12" t="s">
        <v>740</v>
      </c>
      <c r="F22" s="12" t="s">
        <v>806</v>
      </c>
      <c r="G22" s="12" t="s">
        <v>742</v>
      </c>
      <c r="H22" s="12"/>
    </row>
    <row r="23" customFormat="false" ht="15" hidden="false" customHeight="false" outlineLevel="0" collapsed="false">
      <c r="A23" s="12" t="s">
        <v>807</v>
      </c>
      <c r="B23" s="12" t="s">
        <v>738</v>
      </c>
      <c r="C23" s="12" t="s">
        <v>808</v>
      </c>
      <c r="D23" s="12" t="s">
        <v>36</v>
      </c>
      <c r="E23" s="12" t="s">
        <v>390</v>
      </c>
      <c r="F23" s="12" t="s">
        <v>809</v>
      </c>
      <c r="G23" s="12" t="s">
        <v>742</v>
      </c>
      <c r="H23" s="12"/>
    </row>
    <row r="24" customFormat="false" ht="23.85" hidden="false" customHeight="false" outlineLevel="0" collapsed="false">
      <c r="A24" s="12" t="s">
        <v>810</v>
      </c>
      <c r="B24" s="12" t="s">
        <v>738</v>
      </c>
      <c r="C24" s="12" t="s">
        <v>811</v>
      </c>
      <c r="D24" s="12" t="s">
        <v>36</v>
      </c>
      <c r="E24" s="12" t="s">
        <v>390</v>
      </c>
      <c r="F24" s="12" t="s">
        <v>812</v>
      </c>
      <c r="G24" s="12" t="s">
        <v>742</v>
      </c>
      <c r="H24" s="12" t="s">
        <v>813</v>
      </c>
    </row>
    <row r="25" customFormat="false" ht="23.85" hidden="false" customHeight="false" outlineLevel="0" collapsed="false">
      <c r="A25" s="12" t="s">
        <v>814</v>
      </c>
      <c r="B25" s="12" t="s">
        <v>738</v>
      </c>
      <c r="C25" s="12" t="s">
        <v>815</v>
      </c>
      <c r="D25" s="12" t="s">
        <v>36</v>
      </c>
      <c r="E25" s="12" t="s">
        <v>390</v>
      </c>
      <c r="F25" s="12" t="s">
        <v>816</v>
      </c>
      <c r="G25" s="12" t="s">
        <v>742</v>
      </c>
      <c r="H25" s="12" t="s">
        <v>817</v>
      </c>
    </row>
    <row r="26" customFormat="false" ht="23.85" hidden="false" customHeight="false" outlineLevel="0" collapsed="false">
      <c r="A26" s="12" t="s">
        <v>818</v>
      </c>
      <c r="B26" s="12" t="s">
        <v>743</v>
      </c>
      <c r="C26" s="12" t="s">
        <v>819</v>
      </c>
      <c r="D26" s="12" t="s">
        <v>36</v>
      </c>
      <c r="E26" s="12" t="s">
        <v>390</v>
      </c>
      <c r="F26" s="12" t="s">
        <v>820</v>
      </c>
      <c r="G26" s="12" t="s">
        <v>742</v>
      </c>
      <c r="H26" s="12"/>
    </row>
    <row r="27" customFormat="false" ht="23.85" hidden="false" customHeight="false" outlineLevel="0" collapsed="false">
      <c r="A27" s="12" t="s">
        <v>821</v>
      </c>
      <c r="B27" s="12" t="s">
        <v>738</v>
      </c>
      <c r="C27" s="12" t="s">
        <v>822</v>
      </c>
      <c r="D27" s="12" t="s">
        <v>36</v>
      </c>
      <c r="E27" s="12" t="s">
        <v>390</v>
      </c>
      <c r="F27" s="12" t="s">
        <v>823</v>
      </c>
      <c r="G27" s="12" t="s">
        <v>742</v>
      </c>
      <c r="H27" s="12" t="s">
        <v>824</v>
      </c>
    </row>
    <row r="28" customFormat="false" ht="15" hidden="false" customHeight="false" outlineLevel="0" collapsed="false">
      <c r="A28" s="12" t="s">
        <v>825</v>
      </c>
      <c r="B28" s="12" t="s">
        <v>738</v>
      </c>
      <c r="C28" s="12" t="s">
        <v>826</v>
      </c>
      <c r="D28" s="12" t="s">
        <v>36</v>
      </c>
      <c r="E28" s="12" t="s">
        <v>390</v>
      </c>
      <c r="F28" s="12" t="s">
        <v>827</v>
      </c>
      <c r="G28" s="12" t="s">
        <v>742</v>
      </c>
      <c r="H28" s="12"/>
    </row>
    <row r="29" customFormat="false" ht="23.85" hidden="false" customHeight="false" outlineLevel="0" collapsed="false">
      <c r="A29" s="12" t="s">
        <v>105</v>
      </c>
      <c r="B29" s="12" t="s">
        <v>738</v>
      </c>
      <c r="C29" s="12" t="s">
        <v>828</v>
      </c>
      <c r="D29" s="12" t="s">
        <v>36</v>
      </c>
      <c r="E29" s="12" t="s">
        <v>390</v>
      </c>
      <c r="F29" s="12" t="s">
        <v>829</v>
      </c>
      <c r="G29" s="12" t="s">
        <v>742</v>
      </c>
      <c r="H29" s="12" t="s">
        <v>830</v>
      </c>
    </row>
    <row r="30" customFormat="false" ht="23.85" hidden="false" customHeight="false" outlineLevel="0" collapsed="false">
      <c r="A30" s="12" t="s">
        <v>831</v>
      </c>
      <c r="B30" s="12" t="s">
        <v>738</v>
      </c>
      <c r="C30" s="12" t="s">
        <v>832</v>
      </c>
      <c r="D30" s="12" t="s">
        <v>36</v>
      </c>
      <c r="E30" s="12" t="s">
        <v>390</v>
      </c>
      <c r="F30" s="12" t="s">
        <v>833</v>
      </c>
      <c r="G30" s="12" t="s">
        <v>742</v>
      </c>
      <c r="H30" s="12"/>
    </row>
    <row r="31" customFormat="false" ht="35.05" hidden="false" customHeight="false" outlineLevel="0" collapsed="false">
      <c r="A31" s="12" t="s">
        <v>834</v>
      </c>
      <c r="B31" s="12" t="s">
        <v>743</v>
      </c>
      <c r="C31" s="12" t="s">
        <v>835</v>
      </c>
      <c r="D31" s="12" t="s">
        <v>38</v>
      </c>
      <c r="E31" s="12" t="s">
        <v>836</v>
      </c>
      <c r="F31" s="12" t="s">
        <v>837</v>
      </c>
      <c r="G31" s="12" t="s">
        <v>838</v>
      </c>
      <c r="H31" s="12" t="s">
        <v>839</v>
      </c>
    </row>
    <row r="32" customFormat="false" ht="35.05" hidden="false" customHeight="false" outlineLevel="0" collapsed="false">
      <c r="A32" s="12" t="s">
        <v>523</v>
      </c>
      <c r="B32" s="12" t="s">
        <v>738</v>
      </c>
      <c r="C32" s="12" t="s">
        <v>840</v>
      </c>
      <c r="D32" s="12" t="s">
        <v>38</v>
      </c>
      <c r="E32" s="12" t="s">
        <v>745</v>
      </c>
      <c r="F32" s="12" t="s">
        <v>841</v>
      </c>
      <c r="G32" s="12" t="s">
        <v>838</v>
      </c>
      <c r="H32" s="12" t="s">
        <v>842</v>
      </c>
    </row>
    <row r="33" customFormat="false" ht="23.85" hidden="false" customHeight="false" outlineLevel="0" collapsed="false">
      <c r="A33" s="12" t="s">
        <v>843</v>
      </c>
      <c r="B33" s="12" t="s">
        <v>738</v>
      </c>
      <c r="C33" s="12" t="s">
        <v>844</v>
      </c>
      <c r="D33" s="12" t="s">
        <v>36</v>
      </c>
      <c r="E33" s="12" t="s">
        <v>845</v>
      </c>
      <c r="F33" s="12" t="s">
        <v>846</v>
      </c>
      <c r="G33" s="12" t="s">
        <v>742</v>
      </c>
      <c r="H33" s="12" t="s">
        <v>847</v>
      </c>
    </row>
    <row r="34" customFormat="false" ht="15" hidden="false" customHeight="false" outlineLevel="0" collapsed="false">
      <c r="A34" s="12" t="s">
        <v>848</v>
      </c>
      <c r="B34" s="12" t="s">
        <v>738</v>
      </c>
      <c r="C34" s="12" t="s">
        <v>849</v>
      </c>
      <c r="D34" s="12" t="s">
        <v>36</v>
      </c>
      <c r="E34" s="12" t="s">
        <v>337</v>
      </c>
      <c r="F34" s="12" t="s">
        <v>850</v>
      </c>
      <c r="G34" s="12" t="s">
        <v>742</v>
      </c>
      <c r="H34" s="12"/>
    </row>
    <row r="35" customFormat="false" ht="15" hidden="false" customHeight="false" outlineLevel="0" collapsed="false">
      <c r="A35" s="12" t="s">
        <v>851</v>
      </c>
      <c r="B35" s="12" t="s">
        <v>738</v>
      </c>
      <c r="C35" s="12" t="s">
        <v>852</v>
      </c>
      <c r="D35" s="12" t="s">
        <v>36</v>
      </c>
      <c r="E35" s="12" t="s">
        <v>845</v>
      </c>
      <c r="F35" s="12" t="s">
        <v>853</v>
      </c>
      <c r="G35" s="12" t="s">
        <v>742</v>
      </c>
      <c r="H35" s="12"/>
    </row>
    <row r="36" customFormat="false" ht="23.85" hidden="false" customHeight="false" outlineLevel="0" collapsed="false">
      <c r="A36" s="12" t="s">
        <v>854</v>
      </c>
      <c r="B36" s="12" t="s">
        <v>743</v>
      </c>
      <c r="C36" s="12" t="s">
        <v>855</v>
      </c>
      <c r="D36" s="12" t="s">
        <v>36</v>
      </c>
      <c r="E36" s="12" t="s">
        <v>215</v>
      </c>
      <c r="F36" s="12" t="s">
        <v>856</v>
      </c>
      <c r="G36" s="12" t="s">
        <v>742</v>
      </c>
      <c r="H36" s="12" t="s">
        <v>857</v>
      </c>
    </row>
    <row r="37" customFormat="false" ht="23.85" hidden="false" customHeight="false" outlineLevel="0" collapsed="false">
      <c r="A37" s="12" t="s">
        <v>858</v>
      </c>
      <c r="B37" s="12" t="s">
        <v>743</v>
      </c>
      <c r="C37" s="12" t="s">
        <v>859</v>
      </c>
      <c r="D37" s="12" t="s">
        <v>36</v>
      </c>
      <c r="E37" s="12" t="s">
        <v>215</v>
      </c>
      <c r="F37" s="12" t="s">
        <v>860</v>
      </c>
      <c r="G37" s="12" t="s">
        <v>742</v>
      </c>
      <c r="H37" s="12"/>
    </row>
    <row r="38" customFormat="false" ht="23.85" hidden="false" customHeight="false" outlineLevel="0" collapsed="false">
      <c r="A38" s="12" t="s">
        <v>861</v>
      </c>
      <c r="B38" s="12" t="s">
        <v>743</v>
      </c>
      <c r="C38" s="12" t="s">
        <v>862</v>
      </c>
      <c r="D38" s="12" t="s">
        <v>36</v>
      </c>
      <c r="E38" s="12" t="s">
        <v>215</v>
      </c>
      <c r="F38" s="12" t="s">
        <v>860</v>
      </c>
      <c r="G38" s="12" t="s">
        <v>742</v>
      </c>
      <c r="H38" s="12"/>
    </row>
    <row r="39" customFormat="false" ht="15" hidden="false" customHeight="false" outlineLevel="0" collapsed="false">
      <c r="A39" s="12" t="s">
        <v>863</v>
      </c>
      <c r="B39" s="12" t="s">
        <v>743</v>
      </c>
      <c r="C39" s="12" t="s">
        <v>864</v>
      </c>
      <c r="D39" s="12" t="s">
        <v>36</v>
      </c>
      <c r="E39" s="12" t="s">
        <v>845</v>
      </c>
      <c r="F39" s="12" t="s">
        <v>865</v>
      </c>
      <c r="G39" s="12" t="s">
        <v>742</v>
      </c>
      <c r="H39" s="12"/>
    </row>
    <row r="40" customFormat="false" ht="23.85" hidden="false" customHeight="false" outlineLevel="0" collapsed="false">
      <c r="A40" s="12" t="s">
        <v>125</v>
      </c>
      <c r="B40" s="12" t="s">
        <v>738</v>
      </c>
      <c r="C40" s="12" t="s">
        <v>866</v>
      </c>
      <c r="D40" s="12" t="s">
        <v>36</v>
      </c>
      <c r="E40" s="12" t="s">
        <v>845</v>
      </c>
      <c r="F40" s="12" t="s">
        <v>867</v>
      </c>
      <c r="G40" s="12" t="s">
        <v>742</v>
      </c>
      <c r="H40" s="12" t="s">
        <v>868</v>
      </c>
    </row>
    <row r="41" customFormat="false" ht="15" hidden="false" customHeight="false" outlineLevel="0" collapsed="false">
      <c r="A41" s="12" t="s">
        <v>869</v>
      </c>
      <c r="B41" s="12" t="s">
        <v>743</v>
      </c>
      <c r="C41" s="12" t="s">
        <v>870</v>
      </c>
      <c r="D41" s="12" t="s">
        <v>36</v>
      </c>
      <c r="E41" s="12" t="s">
        <v>845</v>
      </c>
      <c r="F41" s="12" t="s">
        <v>871</v>
      </c>
      <c r="G41" s="12" t="s">
        <v>742</v>
      </c>
      <c r="H41" s="12"/>
    </row>
    <row r="42" customFormat="false" ht="23.85" hidden="false" customHeight="false" outlineLevel="0" collapsed="false">
      <c r="A42" s="12" t="s">
        <v>501</v>
      </c>
      <c r="B42" s="12" t="s">
        <v>738</v>
      </c>
      <c r="C42" s="12" t="s">
        <v>872</v>
      </c>
      <c r="D42" s="12" t="s">
        <v>36</v>
      </c>
      <c r="E42" s="12" t="s">
        <v>337</v>
      </c>
      <c r="F42" s="12" t="s">
        <v>873</v>
      </c>
      <c r="G42" s="12" t="s">
        <v>742</v>
      </c>
      <c r="H42" s="12" t="s">
        <v>874</v>
      </c>
    </row>
    <row r="43" customFormat="false" ht="23.85" hidden="false" customHeight="false" outlineLevel="0" collapsed="false">
      <c r="A43" s="12" t="s">
        <v>875</v>
      </c>
      <c r="B43" s="12" t="s">
        <v>743</v>
      </c>
      <c r="C43" s="12" t="s">
        <v>876</v>
      </c>
      <c r="D43" s="12" t="s">
        <v>36</v>
      </c>
      <c r="E43" s="12" t="s">
        <v>337</v>
      </c>
      <c r="F43" s="12" t="s">
        <v>877</v>
      </c>
      <c r="G43" s="12" t="s">
        <v>742</v>
      </c>
      <c r="H43" s="12"/>
    </row>
    <row r="44" customFormat="false" ht="15" hidden="false" customHeight="false" outlineLevel="0" collapsed="false">
      <c r="A44" s="12" t="s">
        <v>878</v>
      </c>
      <c r="B44" s="12" t="s">
        <v>743</v>
      </c>
      <c r="C44" s="12" t="s">
        <v>879</v>
      </c>
      <c r="D44" s="12" t="s">
        <v>36</v>
      </c>
      <c r="E44" s="12" t="s">
        <v>337</v>
      </c>
      <c r="F44" s="12" t="s">
        <v>880</v>
      </c>
      <c r="G44" s="12" t="s">
        <v>742</v>
      </c>
      <c r="H44" s="12"/>
    </row>
    <row r="45" customFormat="false" ht="35.05" hidden="false" customHeight="false" outlineLevel="0" collapsed="false">
      <c r="A45" s="12" t="s">
        <v>881</v>
      </c>
      <c r="B45" s="12" t="s">
        <v>738</v>
      </c>
      <c r="C45" s="12" t="s">
        <v>882</v>
      </c>
      <c r="D45" s="12" t="s">
        <v>38</v>
      </c>
      <c r="E45" s="12" t="s">
        <v>740</v>
      </c>
      <c r="F45" s="12" t="s">
        <v>883</v>
      </c>
      <c r="G45" s="12" t="s">
        <v>884</v>
      </c>
      <c r="H45" s="12" t="s">
        <v>885</v>
      </c>
    </row>
    <row r="46" customFormat="false" ht="15" hidden="false" customHeight="false" outlineLevel="0" collapsed="false">
      <c r="A46" s="12" t="s">
        <v>886</v>
      </c>
      <c r="B46" s="12" t="s">
        <v>738</v>
      </c>
      <c r="C46" s="12" t="s">
        <v>887</v>
      </c>
      <c r="D46" s="12" t="s">
        <v>36</v>
      </c>
      <c r="E46" s="12" t="s">
        <v>390</v>
      </c>
      <c r="F46" s="12" t="s">
        <v>888</v>
      </c>
      <c r="G46" s="12" t="s">
        <v>742</v>
      </c>
      <c r="H46" s="12"/>
    </row>
    <row r="47" customFormat="false" ht="35.05" hidden="false" customHeight="false" outlineLevel="0" collapsed="false">
      <c r="A47" s="12" t="s">
        <v>889</v>
      </c>
      <c r="B47" s="12" t="s">
        <v>738</v>
      </c>
      <c r="C47" s="12" t="s">
        <v>890</v>
      </c>
      <c r="D47" s="12" t="s">
        <v>38</v>
      </c>
      <c r="E47" s="12" t="s">
        <v>390</v>
      </c>
      <c r="F47" s="12" t="s">
        <v>891</v>
      </c>
      <c r="G47" s="12" t="s">
        <v>767</v>
      </c>
      <c r="H47" s="12" t="s">
        <v>892</v>
      </c>
    </row>
    <row r="48" customFormat="false" ht="35.05" hidden="false" customHeight="false" outlineLevel="0" collapsed="false">
      <c r="A48" s="12" t="s">
        <v>893</v>
      </c>
      <c r="B48" s="12" t="s">
        <v>743</v>
      </c>
      <c r="C48" s="12" t="s">
        <v>894</v>
      </c>
      <c r="D48" s="12" t="s">
        <v>36</v>
      </c>
      <c r="E48" s="12" t="s">
        <v>390</v>
      </c>
      <c r="F48" s="12" t="s">
        <v>895</v>
      </c>
      <c r="G48" s="12" t="s">
        <v>742</v>
      </c>
      <c r="H48" s="12" t="s">
        <v>896</v>
      </c>
    </row>
    <row r="49" customFormat="false" ht="35.05" hidden="false" customHeight="false" outlineLevel="0" collapsed="false">
      <c r="A49" s="12" t="s">
        <v>582</v>
      </c>
      <c r="B49" s="12" t="s">
        <v>738</v>
      </c>
      <c r="C49" s="12" t="s">
        <v>897</v>
      </c>
      <c r="D49" s="12" t="s">
        <v>38</v>
      </c>
      <c r="E49" s="12" t="s">
        <v>390</v>
      </c>
      <c r="F49" s="12" t="s">
        <v>898</v>
      </c>
      <c r="G49" s="12" t="s">
        <v>899</v>
      </c>
      <c r="H49" s="12" t="s">
        <v>900</v>
      </c>
    </row>
    <row r="50" customFormat="false" ht="46.25" hidden="false" customHeight="false" outlineLevel="0" collapsed="false">
      <c r="A50" s="12" t="s">
        <v>445</v>
      </c>
      <c r="B50" s="12" t="s">
        <v>743</v>
      </c>
      <c r="C50" s="12" t="s">
        <v>901</v>
      </c>
      <c r="D50" s="12" t="s">
        <v>38</v>
      </c>
      <c r="E50" s="12" t="s">
        <v>836</v>
      </c>
      <c r="F50" s="12" t="s">
        <v>902</v>
      </c>
      <c r="G50" s="12" t="s">
        <v>771</v>
      </c>
      <c r="H50" s="12" t="s">
        <v>903</v>
      </c>
    </row>
    <row r="51" customFormat="false" ht="35.05" hidden="false" customHeight="false" outlineLevel="0" collapsed="false">
      <c r="A51" s="12" t="s">
        <v>904</v>
      </c>
      <c r="B51" s="12" t="s">
        <v>743</v>
      </c>
      <c r="C51" s="12" t="s">
        <v>905</v>
      </c>
      <c r="D51" s="12" t="s">
        <v>40</v>
      </c>
      <c r="E51" s="12" t="s">
        <v>337</v>
      </c>
      <c r="F51" s="12" t="s">
        <v>906</v>
      </c>
      <c r="G51" s="12" t="s">
        <v>767</v>
      </c>
      <c r="H51" s="12" t="s">
        <v>907</v>
      </c>
    </row>
    <row r="52" customFormat="false" ht="23.85" hidden="false" customHeight="false" outlineLevel="0" collapsed="false">
      <c r="A52" s="12" t="s">
        <v>538</v>
      </c>
      <c r="B52" s="12" t="s">
        <v>743</v>
      </c>
      <c r="C52" s="12" t="s">
        <v>908</v>
      </c>
      <c r="D52" s="12" t="s">
        <v>36</v>
      </c>
      <c r="E52" s="12" t="s">
        <v>836</v>
      </c>
      <c r="F52" s="12" t="s">
        <v>909</v>
      </c>
      <c r="G52" s="12" t="s">
        <v>742</v>
      </c>
      <c r="H52" s="12" t="s">
        <v>910</v>
      </c>
    </row>
    <row r="53" customFormat="false" ht="23.85" hidden="false" customHeight="false" outlineLevel="0" collapsed="false">
      <c r="A53" s="12" t="s">
        <v>911</v>
      </c>
      <c r="B53" s="12" t="s">
        <v>743</v>
      </c>
      <c r="C53" s="12" t="s">
        <v>912</v>
      </c>
      <c r="D53" s="12" t="s">
        <v>36</v>
      </c>
      <c r="E53" s="12" t="s">
        <v>479</v>
      </c>
      <c r="F53" s="12" t="s">
        <v>913</v>
      </c>
      <c r="G53" s="12" t="s">
        <v>742</v>
      </c>
      <c r="H53" s="12"/>
    </row>
    <row r="54" customFormat="false" ht="15" hidden="false" customHeight="false" outlineLevel="0" collapsed="false">
      <c r="A54" s="12" t="s">
        <v>71</v>
      </c>
      <c r="B54" s="12" t="s">
        <v>743</v>
      </c>
      <c r="C54" s="12" t="s">
        <v>914</v>
      </c>
      <c r="D54" s="12" t="s">
        <v>36</v>
      </c>
      <c r="E54" s="12" t="s">
        <v>215</v>
      </c>
      <c r="F54" s="12" t="s">
        <v>915</v>
      </c>
      <c r="G54" s="12" t="s">
        <v>742</v>
      </c>
      <c r="H54" s="12"/>
    </row>
    <row r="55" customFormat="false" ht="35.05" hidden="false" customHeight="false" outlineLevel="0" collapsed="false">
      <c r="A55" s="12" t="s">
        <v>916</v>
      </c>
      <c r="B55" s="12" t="s">
        <v>743</v>
      </c>
      <c r="C55" s="12" t="s">
        <v>917</v>
      </c>
      <c r="D55" s="12" t="s">
        <v>39</v>
      </c>
      <c r="E55" s="12" t="s">
        <v>317</v>
      </c>
      <c r="F55" s="12" t="s">
        <v>918</v>
      </c>
      <c r="G55" s="12" t="s">
        <v>919</v>
      </c>
      <c r="H55" s="12" t="s">
        <v>920</v>
      </c>
    </row>
    <row r="56" customFormat="false" ht="15" hidden="false" customHeight="false" outlineLevel="0" collapsed="false">
      <c r="A56" s="12" t="s">
        <v>329</v>
      </c>
      <c r="B56" s="12" t="s">
        <v>743</v>
      </c>
      <c r="C56" s="12" t="s">
        <v>921</v>
      </c>
      <c r="D56" s="12" t="s">
        <v>36</v>
      </c>
      <c r="E56" s="12" t="s">
        <v>845</v>
      </c>
      <c r="F56" s="12" t="s">
        <v>922</v>
      </c>
      <c r="G56" s="12" t="s">
        <v>742</v>
      </c>
      <c r="H56" s="12"/>
    </row>
    <row r="57" customFormat="false" ht="23.85" hidden="false" customHeight="false" outlineLevel="0" collapsed="false">
      <c r="A57" s="12" t="s">
        <v>923</v>
      </c>
      <c r="B57" s="12" t="s">
        <v>743</v>
      </c>
      <c r="C57" s="12" t="s">
        <v>924</v>
      </c>
      <c r="D57" s="12" t="s">
        <v>36</v>
      </c>
      <c r="E57" s="12" t="s">
        <v>845</v>
      </c>
      <c r="F57" s="12" t="s">
        <v>925</v>
      </c>
      <c r="G57" s="12" t="s">
        <v>742</v>
      </c>
      <c r="H57" s="12"/>
    </row>
    <row r="58" customFormat="false" ht="23.85" hidden="false" customHeight="false" outlineLevel="0" collapsed="false">
      <c r="A58" s="12" t="s">
        <v>926</v>
      </c>
      <c r="B58" s="12" t="s">
        <v>748</v>
      </c>
      <c r="C58" s="12" t="s">
        <v>927</v>
      </c>
      <c r="D58" s="12" t="s">
        <v>36</v>
      </c>
      <c r="E58" s="12" t="s">
        <v>337</v>
      </c>
      <c r="F58" s="12" t="s">
        <v>928</v>
      </c>
      <c r="G58" s="12" t="s">
        <v>742</v>
      </c>
      <c r="H58" s="12"/>
    </row>
    <row r="59" customFormat="false" ht="23.85" hidden="false" customHeight="false" outlineLevel="0" collapsed="false">
      <c r="A59" s="12" t="s">
        <v>153</v>
      </c>
      <c r="B59" s="12" t="s">
        <v>743</v>
      </c>
      <c r="C59" s="12" t="s">
        <v>929</v>
      </c>
      <c r="D59" s="12" t="s">
        <v>36</v>
      </c>
      <c r="E59" s="12" t="s">
        <v>390</v>
      </c>
      <c r="F59" s="12" t="s">
        <v>930</v>
      </c>
      <c r="G59" s="12" t="s">
        <v>742</v>
      </c>
      <c r="H59" s="12" t="s">
        <v>931</v>
      </c>
    </row>
    <row r="60" customFormat="false" ht="46.25" hidden="false" customHeight="false" outlineLevel="0" collapsed="false">
      <c r="A60" s="12" t="s">
        <v>164</v>
      </c>
      <c r="B60" s="12" t="s">
        <v>743</v>
      </c>
      <c r="C60" s="12" t="s">
        <v>932</v>
      </c>
      <c r="D60" s="12" t="s">
        <v>38</v>
      </c>
      <c r="E60" s="12" t="s">
        <v>745</v>
      </c>
      <c r="F60" s="12" t="s">
        <v>933</v>
      </c>
      <c r="G60" s="12" t="s">
        <v>934</v>
      </c>
      <c r="H60" s="12" t="s">
        <v>935</v>
      </c>
    </row>
    <row r="61" customFormat="false" ht="23.85" hidden="false" customHeight="false" outlineLevel="0" collapsed="false">
      <c r="A61" s="12" t="s">
        <v>936</v>
      </c>
      <c r="B61" s="12" t="s">
        <v>748</v>
      </c>
      <c r="C61" s="12" t="s">
        <v>937</v>
      </c>
      <c r="D61" s="12" t="s">
        <v>36</v>
      </c>
      <c r="E61" s="12" t="s">
        <v>215</v>
      </c>
      <c r="F61" s="12" t="s">
        <v>860</v>
      </c>
      <c r="G61" s="12" t="s">
        <v>742</v>
      </c>
      <c r="H61" s="12"/>
    </row>
    <row r="62" customFormat="false" ht="35.05" hidden="false" customHeight="false" outlineLevel="0" collapsed="false">
      <c r="A62" s="12" t="s">
        <v>938</v>
      </c>
      <c r="B62" s="12" t="s">
        <v>748</v>
      </c>
      <c r="C62" s="12" t="s">
        <v>939</v>
      </c>
      <c r="D62" s="12" t="s">
        <v>41</v>
      </c>
      <c r="E62" s="12" t="s">
        <v>215</v>
      </c>
      <c r="F62" s="12" t="s">
        <v>940</v>
      </c>
      <c r="G62" s="12" t="s">
        <v>941</v>
      </c>
      <c r="H62" s="12" t="s">
        <v>942</v>
      </c>
    </row>
    <row r="63" customFormat="false" ht="23.85" hidden="false" customHeight="false" outlineLevel="0" collapsed="false">
      <c r="A63" s="12" t="s">
        <v>943</v>
      </c>
      <c r="B63" s="12" t="s">
        <v>743</v>
      </c>
      <c r="C63" s="12" t="s">
        <v>944</v>
      </c>
      <c r="D63" s="12" t="s">
        <v>36</v>
      </c>
      <c r="E63" s="12" t="s">
        <v>740</v>
      </c>
      <c r="F63" s="12" t="s">
        <v>945</v>
      </c>
      <c r="G63" s="12" t="s">
        <v>742</v>
      </c>
      <c r="H63" s="12"/>
    </row>
    <row r="64" customFormat="false" ht="15" hidden="false" customHeight="false" outlineLevel="0" collapsed="false">
      <c r="A64" s="12" t="s">
        <v>946</v>
      </c>
      <c r="B64" s="12" t="s">
        <v>748</v>
      </c>
      <c r="C64" s="12" t="s">
        <v>947</v>
      </c>
      <c r="D64" s="12" t="s">
        <v>36</v>
      </c>
      <c r="E64" s="12" t="s">
        <v>845</v>
      </c>
      <c r="F64" s="12" t="s">
        <v>948</v>
      </c>
      <c r="G64" s="12" t="s">
        <v>742</v>
      </c>
      <c r="H64" s="12"/>
    </row>
    <row r="65" customFormat="false" ht="15" hidden="false" customHeight="false" outlineLevel="0" collapsed="false">
      <c r="A65" s="12" t="s">
        <v>949</v>
      </c>
      <c r="B65" s="12" t="s">
        <v>748</v>
      </c>
      <c r="C65" s="12" t="s">
        <v>950</v>
      </c>
      <c r="D65" s="12" t="s">
        <v>36</v>
      </c>
      <c r="E65" s="12" t="s">
        <v>845</v>
      </c>
      <c r="F65" s="12" t="s">
        <v>860</v>
      </c>
      <c r="G65" s="12" t="s">
        <v>742</v>
      </c>
      <c r="H65" s="12"/>
    </row>
  </sheetData>
  <autoFilter ref="A3:H65"/>
  <conditionalFormatting sqref="D4:D65">
    <cfRule type="expression" priority="2" aboveAverage="0" equalAverage="0" bottom="0" percent="0" rank="0" text="" dxfId="6">
      <formula>LEFT(D4,5)="FIXED"</formula>
    </cfRule>
    <cfRule type="expression" priority="3" aboveAverage="0" equalAverage="0" bottom="0" percent="0" rank="0" text="" dxfId="6">
      <formula>LEFT(D4,4)="PASS"</formula>
    </cfRule>
    <cfRule type="expression" priority="4" aboveAverage="0" equalAverage="0" bottom="0" percent="0" rank="0" text="" dxfId="6">
      <formula>LEFT(D4,3)="MET"</formula>
    </cfRule>
    <cfRule type="expression" priority="5" aboveAverage="0" equalAverage="0" bottom="0" percent="0" rank="0" text="" dxfId="6">
      <formula>LEFT(D4,7)="DECIDED"</formula>
    </cfRule>
    <cfRule type="expression" priority="6" aboveAverage="0" equalAverage="0" bottom="0" percent="0" rank="0" text="" dxfId="6">
      <formula>LEFT(D4,8)="RATIFIED"</formula>
    </cfRule>
    <cfRule type="expression" priority="7" aboveAverage="0" equalAverage="0" bottom="0" percent="0" rank="0" text="" dxfId="6">
      <formula>LEFT(D4,5)="Fixed"</formula>
    </cfRule>
    <cfRule type="expression" priority="8" aboveAverage="0" equalAverage="0" bottom="0" percent="0" rank="0" text="" dxfId="7">
      <formula>LEFT(D4,7)="PARTIAL"</formula>
    </cfRule>
    <cfRule type="expression" priority="9" aboveAverage="0" equalAverage="0" bottom="0" percent="0" rank="0" text="" dxfId="7">
      <formula>LEFT(D4,7)="CHANGED"</formula>
    </cfRule>
    <cfRule type="expression" priority="10" aboveAverage="0" equalAverage="0" bottom="0" percent="0" rank="0" text="" dxfId="7">
      <formula>LEFT(D4,13)="FIXED-IN-TREE"</formula>
    </cfRule>
    <cfRule type="expression" priority="11" aboveAverage="0" equalAverage="0" bottom="0" percent="0" rank="0" text="" dxfId="7">
      <formula>LEFT(D4,7)="Partial"</formula>
    </cfRule>
    <cfRule type="expression" priority="12" aboveAverage="0" equalAverage="0" bottom="0" percent="0" rank="0" text="" dxfId="7">
      <formula>LEFT(D4,7)="Changed"</formula>
    </cfRule>
    <cfRule type="expression" priority="13" aboveAverage="0" equalAverage="0" bottom="0" percent="0" rank="0" text="" dxfId="7">
      <formula>LEFT(D4,17)="ACCEPTED-PROPOSED"</formula>
    </cfRule>
    <cfRule type="expression" priority="14" aboveAverage="0" equalAverage="0" bottom="0" percent="0" rank="0" text="" dxfId="8">
      <formula>LEFT(D4,4)="FAIL"</formula>
    </cfRule>
    <cfRule type="expression" priority="15" aboveAverage="0" equalAverage="0" bottom="0" percent="0" rank="0" text="" dxfId="8">
      <formula>LEFT(D4,7)="NOT MET"</formula>
    </cfRule>
    <cfRule type="expression" priority="16" aboveAverage="0" equalAverage="0" bottom="0" percent="0" rank="0" text="" dxfId="8">
      <formula>LEFT(D4,7)="BLOCKED"</formula>
    </cfRule>
    <cfRule type="expression" priority="17" aboveAverage="0" equalAverage="0" bottom="0" percent="0" rank="0" text="" dxfId="8">
      <formula>LEFT(D4,9)="Not built"</formula>
    </cfRule>
    <cfRule type="expression" priority="18" aboveAverage="0" equalAverage="0" bottom="0" percent="0" rank="0" text="" dxfId="8">
      <formula>LEFT(D4,8)="Deferred"</formula>
    </cfRule>
    <cfRule type="expression" priority="19" aboveAverage="0" equalAverage="0" bottom="0" percent="0" rank="0" text="" dxfId="8">
      <formula>LEFT(D4,8)="DEFERRED"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10" t="s">
        <v>951</v>
      </c>
    </row>
    <row r="2" customFormat="false" ht="15" hidden="false" customHeight="false" outlineLevel="0" collapsed="false">
      <c r="A2" s="5" t="s">
        <v>952</v>
      </c>
    </row>
    <row r="3" customFormat="false" ht="30" hidden="false" customHeight="true" outlineLevel="0" collapsed="false">
      <c r="A3" s="11" t="s">
        <v>953</v>
      </c>
      <c r="B3" s="11" t="s">
        <v>732</v>
      </c>
      <c r="C3" s="11" t="s">
        <v>954</v>
      </c>
      <c r="D3" s="11" t="s">
        <v>955</v>
      </c>
      <c r="E3" s="11" t="s">
        <v>956</v>
      </c>
      <c r="F3" s="11" t="s">
        <v>957</v>
      </c>
      <c r="G3" s="11" t="s">
        <v>958</v>
      </c>
    </row>
    <row r="4" customFormat="false" ht="15" hidden="false" customHeight="false" outlineLevel="0" collapsed="false">
      <c r="A4" s="12" t="s">
        <v>959</v>
      </c>
      <c r="B4" s="12" t="s">
        <v>807</v>
      </c>
      <c r="C4" s="12" t="s">
        <v>960</v>
      </c>
      <c r="D4" s="12" t="n">
        <v>200</v>
      </c>
      <c r="E4" s="12" t="s">
        <v>961</v>
      </c>
      <c r="F4" s="12" t="n">
        <v>401</v>
      </c>
      <c r="G4" s="12" t="s">
        <v>962</v>
      </c>
    </row>
    <row r="5" customFormat="false" ht="15" hidden="false" customHeight="false" outlineLevel="0" collapsed="false">
      <c r="A5" s="12" t="s">
        <v>963</v>
      </c>
      <c r="B5" s="12" t="s">
        <v>82</v>
      </c>
      <c r="C5" s="12" t="s">
        <v>964</v>
      </c>
      <c r="D5" s="12" t="n">
        <v>200</v>
      </c>
      <c r="E5" s="12" t="s">
        <v>961</v>
      </c>
      <c r="F5" s="12" t="n">
        <v>401</v>
      </c>
      <c r="G5" s="12" t="s">
        <v>962</v>
      </c>
    </row>
    <row r="6" customFormat="false" ht="15" hidden="false" customHeight="false" outlineLevel="0" collapsed="false">
      <c r="A6" s="12" t="s">
        <v>965</v>
      </c>
      <c r="B6" s="12" t="s">
        <v>804</v>
      </c>
      <c r="C6" s="12" t="s">
        <v>966</v>
      </c>
      <c r="D6" s="12" t="n">
        <v>200</v>
      </c>
      <c r="E6" s="12" t="s">
        <v>961</v>
      </c>
      <c r="F6" s="12" t="n">
        <v>401</v>
      </c>
      <c r="G6" s="12" t="s">
        <v>962</v>
      </c>
    </row>
    <row r="7" customFormat="false" ht="15" hidden="false" customHeight="false" outlineLevel="0" collapsed="false">
      <c r="A7" s="12" t="s">
        <v>967</v>
      </c>
      <c r="B7" s="12" t="s">
        <v>848</v>
      </c>
      <c r="C7" s="12" t="s">
        <v>968</v>
      </c>
      <c r="D7" s="12" t="n">
        <v>200</v>
      </c>
      <c r="E7" s="12" t="s">
        <v>961</v>
      </c>
      <c r="F7" s="12" t="n">
        <v>422</v>
      </c>
      <c r="G7" s="12" t="s">
        <v>962</v>
      </c>
    </row>
    <row r="8" customFormat="false" ht="15" hidden="false" customHeight="false" outlineLevel="0" collapsed="false">
      <c r="A8" s="12" t="s">
        <v>969</v>
      </c>
      <c r="B8" s="12" t="s">
        <v>851</v>
      </c>
      <c r="C8" s="12" t="s">
        <v>970</v>
      </c>
      <c r="D8" s="12" t="n">
        <v>200</v>
      </c>
      <c r="E8" s="12" t="s">
        <v>961</v>
      </c>
      <c r="F8" s="12" t="n">
        <v>422</v>
      </c>
      <c r="G8" s="12" t="s">
        <v>962</v>
      </c>
    </row>
    <row r="9" customFormat="false" ht="15" hidden="false" customHeight="false" outlineLevel="0" collapsed="false">
      <c r="A9" s="12" t="s">
        <v>971</v>
      </c>
      <c r="B9" s="12" t="s">
        <v>843</v>
      </c>
      <c r="C9" s="12" t="s">
        <v>972</v>
      </c>
      <c r="D9" s="12" t="n">
        <v>200</v>
      </c>
      <c r="E9" s="12" t="s">
        <v>961</v>
      </c>
      <c r="F9" s="12" t="n">
        <v>422</v>
      </c>
      <c r="G9" s="12" t="s">
        <v>962</v>
      </c>
    </row>
    <row r="10" customFormat="false" ht="15" hidden="false" customHeight="false" outlineLevel="0" collapsed="false">
      <c r="A10" s="12" t="s">
        <v>973</v>
      </c>
      <c r="B10" s="12" t="s">
        <v>814</v>
      </c>
      <c r="C10" s="12" t="s">
        <v>974</v>
      </c>
      <c r="D10" s="12" t="n">
        <v>200</v>
      </c>
      <c r="E10" s="12" t="s">
        <v>961</v>
      </c>
      <c r="F10" s="12" t="n">
        <v>422</v>
      </c>
      <c r="G10" s="12" t="s">
        <v>962</v>
      </c>
    </row>
    <row r="11" customFormat="false" ht="15" hidden="false" customHeight="false" outlineLevel="0" collapsed="false">
      <c r="A11" s="12" t="s">
        <v>975</v>
      </c>
      <c r="B11" s="12" t="s">
        <v>814</v>
      </c>
      <c r="C11" s="12" t="s">
        <v>976</v>
      </c>
      <c r="D11" s="12" t="n">
        <v>200</v>
      </c>
      <c r="E11" s="12" t="s">
        <v>962</v>
      </c>
      <c r="F11" s="12" t="n">
        <v>200</v>
      </c>
      <c r="G11" s="12" t="s">
        <v>962</v>
      </c>
    </row>
    <row r="12" customFormat="false" ht="15" hidden="false" customHeight="false" outlineLevel="0" collapsed="false">
      <c r="A12" s="12" t="s">
        <v>977</v>
      </c>
      <c r="B12" s="12" t="s">
        <v>821</v>
      </c>
      <c r="C12" s="12" t="s">
        <v>978</v>
      </c>
      <c r="D12" s="12" t="n">
        <v>200</v>
      </c>
      <c r="E12" s="12" t="s">
        <v>961</v>
      </c>
      <c r="F12" s="12" t="n">
        <v>200</v>
      </c>
      <c r="G12" s="12" t="s">
        <v>962</v>
      </c>
    </row>
    <row r="13" customFormat="false" ht="15" hidden="false" customHeight="false" outlineLevel="0" collapsed="false">
      <c r="A13" s="12" t="s">
        <v>979</v>
      </c>
      <c r="B13" s="12" t="s">
        <v>105</v>
      </c>
      <c r="C13" s="12" t="s">
        <v>980</v>
      </c>
      <c r="D13" s="12" t="n">
        <v>404</v>
      </c>
      <c r="E13" s="12" t="s">
        <v>962</v>
      </c>
      <c r="F13" s="12" t="n">
        <v>401</v>
      </c>
      <c r="G13" s="12" t="s">
        <v>962</v>
      </c>
    </row>
    <row r="14" customFormat="false" ht="15" hidden="false" customHeight="false" outlineLevel="0" collapsed="false">
      <c r="A14" s="12" t="s">
        <v>981</v>
      </c>
      <c r="B14" s="12" t="s">
        <v>82</v>
      </c>
      <c r="C14" s="12" t="s">
        <v>982</v>
      </c>
      <c r="D14" s="12" t="n">
        <v>200</v>
      </c>
      <c r="E14" s="12" t="s">
        <v>961</v>
      </c>
      <c r="F14" s="12" t="n">
        <v>401</v>
      </c>
      <c r="G14" s="12" t="s">
        <v>962</v>
      </c>
    </row>
    <row r="15" customFormat="false" ht="15" hidden="false" customHeight="false" outlineLevel="0" collapsed="false">
      <c r="A15" s="12" t="s">
        <v>983</v>
      </c>
      <c r="B15" s="12" t="s">
        <v>984</v>
      </c>
      <c r="C15" s="12" t="s">
        <v>985</v>
      </c>
      <c r="D15" s="12" t="n">
        <v>200</v>
      </c>
      <c r="E15" s="12" t="s">
        <v>961</v>
      </c>
      <c r="F15" s="12" t="n">
        <v>429</v>
      </c>
      <c r="G15" s="12" t="s">
        <v>962</v>
      </c>
    </row>
    <row r="16" customFormat="false" ht="15" hidden="false" customHeight="false" outlineLevel="0" collapsed="false">
      <c r="C16" s="16" t="s">
        <v>986</v>
      </c>
      <c r="E16" s="16" t="n">
        <f aca="false">COUNTIF(E4:E15,"Succeeded")</f>
        <v>10</v>
      </c>
      <c r="G16" s="16" t="n">
        <f aca="false">COUNTIF(G4:G15,"Succeeded")</f>
        <v>0</v>
      </c>
    </row>
  </sheetData>
  <autoFilter ref="A3:G15"/>
  <conditionalFormatting sqref="E4:E15">
    <cfRule type="cellIs" priority="2" operator="equal" aboveAverage="0" equalAverage="0" bottom="0" percent="0" rank="0" text="" dxfId="8">
      <formula>"Succeeded"</formula>
    </cfRule>
    <cfRule type="cellIs" priority="3" operator="equal" aboveAverage="0" equalAverage="0" bottom="0" percent="0" rank="0" text="" dxfId="6">
      <formula>"Failed"</formula>
    </cfRule>
  </conditionalFormatting>
  <conditionalFormatting sqref="G4:G15">
    <cfRule type="cellIs" priority="4" operator="equal" aboveAverage="0" equalAverage="0" bottom="0" percent="0" rank="0" text="" dxfId="8">
      <formula>"Succeeded"</formula>
    </cfRule>
    <cfRule type="cellIs" priority="5" operator="equal" aboveAverage="0" equalAverage="0" bottom="0" percent="0" rank="0" text="" dxfId="6">
      <formula>"Failed"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10" t="s">
        <v>987</v>
      </c>
    </row>
    <row r="2" customFormat="false" ht="15" hidden="false" customHeight="false" outlineLevel="0" collapsed="false">
      <c r="A2" s="5" t="s">
        <v>988</v>
      </c>
    </row>
    <row r="3" customFormat="false" ht="30" hidden="false" customHeight="true" outlineLevel="0" collapsed="false">
      <c r="A3" s="11" t="s">
        <v>989</v>
      </c>
      <c r="B3" s="11" t="s">
        <v>990</v>
      </c>
      <c r="C3" s="11" t="s">
        <v>991</v>
      </c>
      <c r="D3" s="11" t="s">
        <v>992</v>
      </c>
      <c r="E3" s="11" t="s">
        <v>993</v>
      </c>
      <c r="F3" s="11" t="s">
        <v>994</v>
      </c>
    </row>
    <row r="4" customFormat="false" ht="15" hidden="false" customHeight="false" outlineLevel="0" collapsed="false">
      <c r="A4" s="12" t="s">
        <v>995</v>
      </c>
      <c r="B4" s="12" t="s">
        <v>996</v>
      </c>
      <c r="C4" s="12" t="s">
        <v>997</v>
      </c>
      <c r="D4" s="12" t="s">
        <v>997</v>
      </c>
      <c r="E4" s="12" t="s">
        <v>998</v>
      </c>
      <c r="F4" s="12" t="s">
        <v>999</v>
      </c>
    </row>
    <row r="5" customFormat="false" ht="15" hidden="false" customHeight="false" outlineLevel="0" collapsed="false">
      <c r="A5" s="12" t="s">
        <v>1000</v>
      </c>
      <c r="B5" s="12" t="s">
        <v>1001</v>
      </c>
      <c r="C5" s="12" t="s">
        <v>1002</v>
      </c>
      <c r="D5" s="12" t="s">
        <v>1002</v>
      </c>
      <c r="E5" s="12" t="s">
        <v>998</v>
      </c>
      <c r="F5" s="12" t="s">
        <v>1003</v>
      </c>
    </row>
    <row r="6" customFormat="false" ht="15" hidden="false" customHeight="false" outlineLevel="0" collapsed="false">
      <c r="A6" s="12" t="s">
        <v>1004</v>
      </c>
      <c r="B6" s="12" t="s">
        <v>1005</v>
      </c>
      <c r="C6" s="12" t="s">
        <v>1006</v>
      </c>
      <c r="D6" s="12" t="s">
        <v>1006</v>
      </c>
      <c r="E6" s="12" t="s">
        <v>998</v>
      </c>
      <c r="F6" s="12" t="s">
        <v>1003</v>
      </c>
    </row>
    <row r="7" customFormat="false" ht="15" hidden="false" customHeight="false" outlineLevel="0" collapsed="false">
      <c r="A7" s="12" t="s">
        <v>1007</v>
      </c>
      <c r="B7" s="12" t="s">
        <v>1008</v>
      </c>
      <c r="C7" s="12" t="s">
        <v>1009</v>
      </c>
      <c r="D7" s="12" t="s">
        <v>1009</v>
      </c>
      <c r="E7" s="12" t="s">
        <v>998</v>
      </c>
      <c r="F7" s="12" t="s">
        <v>1010</v>
      </c>
    </row>
    <row r="8" customFormat="false" ht="15" hidden="false" customHeight="false" outlineLevel="0" collapsed="false">
      <c r="A8" s="12" t="s">
        <v>1011</v>
      </c>
      <c r="B8" s="12" t="s">
        <v>1012</v>
      </c>
      <c r="C8" s="12" t="s">
        <v>1013</v>
      </c>
      <c r="D8" s="12" t="s">
        <v>1013</v>
      </c>
      <c r="E8" s="12" t="s">
        <v>998</v>
      </c>
      <c r="F8" s="12" t="s">
        <v>1014</v>
      </c>
    </row>
    <row r="9" customFormat="false" ht="15" hidden="false" customHeight="false" outlineLevel="0" collapsed="false">
      <c r="A9" s="12" t="s">
        <v>1015</v>
      </c>
      <c r="B9" s="12" t="s">
        <v>1016</v>
      </c>
      <c r="C9" s="12" t="s">
        <v>1017</v>
      </c>
      <c r="D9" s="12" t="s">
        <v>1017</v>
      </c>
      <c r="E9" s="12" t="s">
        <v>998</v>
      </c>
      <c r="F9" s="12" t="s">
        <v>1003</v>
      </c>
    </row>
    <row r="10" customFormat="false" ht="15" hidden="false" customHeight="false" outlineLevel="0" collapsed="false">
      <c r="A10" s="12" t="s">
        <v>1018</v>
      </c>
      <c r="B10" s="12" t="s">
        <v>1019</v>
      </c>
      <c r="C10" s="12" t="s">
        <v>1020</v>
      </c>
      <c r="D10" s="12" t="s">
        <v>1020</v>
      </c>
      <c r="E10" s="12" t="s">
        <v>998</v>
      </c>
      <c r="F10" s="12" t="s">
        <v>1021</v>
      </c>
    </row>
    <row r="11" customFormat="false" ht="15" hidden="false" customHeight="false" outlineLevel="0" collapsed="false">
      <c r="A11" s="12" t="s">
        <v>1022</v>
      </c>
      <c r="B11" s="12" t="s">
        <v>1023</v>
      </c>
      <c r="C11" s="12" t="s">
        <v>1024</v>
      </c>
      <c r="D11" s="12" t="s">
        <v>1024</v>
      </c>
      <c r="E11" s="12" t="s">
        <v>998</v>
      </c>
      <c r="F11" s="12" t="s">
        <v>1021</v>
      </c>
    </row>
    <row r="12" customFormat="false" ht="23.85" hidden="false" customHeight="false" outlineLevel="0" collapsed="false">
      <c r="A12" s="12" t="s">
        <v>1025</v>
      </c>
      <c r="B12" s="12" t="s">
        <v>1026</v>
      </c>
      <c r="C12" s="12" t="s">
        <v>1027</v>
      </c>
      <c r="D12" s="12" t="s">
        <v>1028</v>
      </c>
      <c r="E12" s="12" t="s">
        <v>742</v>
      </c>
      <c r="F12" s="12" t="s">
        <v>1029</v>
      </c>
    </row>
    <row r="13" customFormat="false" ht="15" hidden="false" customHeight="false" outlineLevel="0" collapsed="false">
      <c r="A13" s="12" t="s">
        <v>1030</v>
      </c>
      <c r="B13" s="12" t="s">
        <v>1031</v>
      </c>
      <c r="C13" s="12" t="s">
        <v>1032</v>
      </c>
      <c r="D13" s="12" t="s">
        <v>1033</v>
      </c>
      <c r="E13" s="12" t="s">
        <v>742</v>
      </c>
      <c r="F13" s="12" t="s">
        <v>1034</v>
      </c>
    </row>
  </sheetData>
  <autoFilter ref="A3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5"/>
  </cols>
  <sheetData>
    <row r="1" customFormat="false" ht="17.35" hidden="false" customHeight="false" outlineLevel="0" collapsed="false">
      <c r="A1" s="10" t="s">
        <v>1035</v>
      </c>
    </row>
    <row r="2" customFormat="false" ht="15" hidden="false" customHeight="false" outlineLevel="0" collapsed="false">
      <c r="A2" s="5" t="s">
        <v>1036</v>
      </c>
    </row>
    <row r="3" customFormat="false" ht="30" hidden="false" customHeight="true" outlineLevel="0" collapsed="false">
      <c r="A3" s="11" t="s">
        <v>1037</v>
      </c>
      <c r="B3" s="11" t="s">
        <v>1038</v>
      </c>
      <c r="C3" s="11" t="s">
        <v>1039</v>
      </c>
      <c r="D3" s="11" t="s">
        <v>1040</v>
      </c>
      <c r="E3" s="11" t="s">
        <v>38</v>
      </c>
      <c r="F3" s="11" t="s">
        <v>1041</v>
      </c>
      <c r="G3" s="11" t="s">
        <v>1042</v>
      </c>
      <c r="H3" s="11" t="s">
        <v>1043</v>
      </c>
      <c r="I3" s="11" t="s">
        <v>1044</v>
      </c>
    </row>
    <row r="4" customFormat="false" ht="15" hidden="false" customHeight="false" outlineLevel="0" collapsed="false">
      <c r="A4" s="12" t="s">
        <v>215</v>
      </c>
      <c r="B4" s="12" t="s">
        <v>1045</v>
      </c>
      <c r="C4" s="12" t="n">
        <v>20</v>
      </c>
      <c r="D4" s="12" t="n">
        <v>6</v>
      </c>
      <c r="E4" s="12" t="n">
        <v>1</v>
      </c>
      <c r="F4" s="12" t="n">
        <v>0</v>
      </c>
      <c r="G4" s="12" t="n">
        <v>0</v>
      </c>
      <c r="H4" s="12" t="n">
        <f aca="false">SUM(D4:G4)</f>
        <v>7</v>
      </c>
      <c r="I4" s="17" t="n">
        <f aca="false">IF(H4=0,0,(D4+0.5*E4)/H4)</f>
        <v>0.928571428571429</v>
      </c>
    </row>
    <row r="5" customFormat="false" ht="15" hidden="false" customHeight="false" outlineLevel="0" collapsed="false">
      <c r="A5" s="12" t="s">
        <v>337</v>
      </c>
      <c r="B5" s="12" t="s">
        <v>1046</v>
      </c>
      <c r="C5" s="12" t="n">
        <v>25</v>
      </c>
      <c r="D5" s="12" t="n">
        <v>5</v>
      </c>
      <c r="E5" s="12" t="n">
        <v>4</v>
      </c>
      <c r="F5" s="12" t="n">
        <v>0</v>
      </c>
      <c r="G5" s="12" t="n">
        <v>0</v>
      </c>
      <c r="H5" s="12" t="n">
        <f aca="false">SUM(D5:G5)</f>
        <v>9</v>
      </c>
      <c r="I5" s="17" t="n">
        <f aca="false">IF(H5=0,0,(D5+0.5*E5)/H5)</f>
        <v>0.777777777777778</v>
      </c>
    </row>
    <row r="6" customFormat="false" ht="15" hidden="false" customHeight="false" outlineLevel="0" collapsed="false">
      <c r="A6" s="12" t="s">
        <v>390</v>
      </c>
      <c r="B6" s="12" t="s">
        <v>1047</v>
      </c>
      <c r="C6" s="12" t="n">
        <v>20</v>
      </c>
      <c r="D6" s="12" t="n">
        <v>5</v>
      </c>
      <c r="E6" s="12" t="n">
        <v>2</v>
      </c>
      <c r="F6" s="12" t="n">
        <v>1</v>
      </c>
      <c r="G6" s="12" t="n">
        <v>1</v>
      </c>
      <c r="H6" s="12" t="n">
        <f aca="false">SUM(D6:G6)</f>
        <v>9</v>
      </c>
      <c r="I6" s="17" t="n">
        <f aca="false">IF(H6=0,0,(D6+0.5*E6)/H6)</f>
        <v>0.666666666666667</v>
      </c>
    </row>
    <row r="7" customFormat="false" ht="15" hidden="false" customHeight="false" outlineLevel="0" collapsed="false">
      <c r="A7" s="12" t="s">
        <v>317</v>
      </c>
      <c r="B7" s="12" t="s">
        <v>1048</v>
      </c>
      <c r="C7" s="12" t="n">
        <v>25</v>
      </c>
      <c r="D7" s="12" t="n">
        <v>4</v>
      </c>
      <c r="E7" s="12" t="n">
        <v>1</v>
      </c>
      <c r="F7" s="12" t="n">
        <v>0</v>
      </c>
      <c r="G7" s="12" t="n">
        <v>1</v>
      </c>
      <c r="H7" s="12" t="n">
        <f aca="false">SUM(D7:G7)</f>
        <v>6</v>
      </c>
      <c r="I7" s="17" t="n">
        <f aca="false">IF(H7=0,0,(D7+0.5*E7)/H7)</f>
        <v>0.75</v>
      </c>
    </row>
    <row r="8" customFormat="false" ht="15" hidden="false" customHeight="false" outlineLevel="0" collapsed="false">
      <c r="A8" s="12" t="s">
        <v>382</v>
      </c>
      <c r="B8" s="12" t="s">
        <v>1049</v>
      </c>
      <c r="C8" s="12" t="n">
        <v>10</v>
      </c>
      <c r="D8" s="12" t="n">
        <v>4</v>
      </c>
      <c r="E8" s="12" t="n">
        <v>1</v>
      </c>
      <c r="F8" s="12" t="n">
        <v>0</v>
      </c>
      <c r="G8" s="12" t="n">
        <v>0</v>
      </c>
      <c r="H8" s="12" t="n">
        <f aca="false">SUM(D8:G8)</f>
        <v>5</v>
      </c>
      <c r="I8" s="17" t="n">
        <f aca="false">IF(H8=0,0,(D8+0.5*E8)/H8)</f>
        <v>0.9</v>
      </c>
    </row>
    <row r="9" customFormat="false" ht="15" hidden="false" customHeight="false" outlineLevel="0" collapsed="false">
      <c r="A9" s="18" t="s">
        <v>192</v>
      </c>
      <c r="B9" s="18"/>
      <c r="C9" s="18" t="n">
        <f aca="false">SUM(C4:C8)</f>
        <v>100</v>
      </c>
      <c r="D9" s="18" t="n">
        <f aca="false">SUM(D4:D8)</f>
        <v>24</v>
      </c>
      <c r="E9" s="18" t="n">
        <f aca="false">SUM(E4:E8)</f>
        <v>9</v>
      </c>
      <c r="F9" s="18" t="n">
        <f aca="false">SUM(F4:F8)</f>
        <v>1</v>
      </c>
      <c r="G9" s="18" t="n">
        <f aca="false">SUM(G4:G8)</f>
        <v>2</v>
      </c>
      <c r="H9" s="18" t="n">
        <f aca="false">SUM(H4:H8)</f>
        <v>36</v>
      </c>
      <c r="I9" s="18"/>
    </row>
    <row r="11" customFormat="false" ht="15" hidden="false" customHeight="false" outlineLevel="0" collapsed="false">
      <c r="A11" s="19" t="s">
        <v>1050</v>
      </c>
    </row>
    <row r="12" customFormat="false" ht="15" hidden="false" customHeight="false" outlineLevel="0" collapsed="false">
      <c r="A12" s="20" t="s">
        <v>1037</v>
      </c>
      <c r="B12" s="20" t="s">
        <v>1051</v>
      </c>
      <c r="C12" s="20" t="s">
        <v>61</v>
      </c>
      <c r="D12" s="20" t="s">
        <v>1052</v>
      </c>
      <c r="E12" s="20" t="s">
        <v>205</v>
      </c>
    </row>
    <row r="13" customFormat="false" ht="35.05" hidden="false" customHeight="false" outlineLevel="0" collapsed="false">
      <c r="A13" s="12" t="s">
        <v>215</v>
      </c>
      <c r="B13" s="12" t="s">
        <v>1053</v>
      </c>
      <c r="C13" s="12" t="s">
        <v>1040</v>
      </c>
      <c r="D13" s="12" t="s">
        <v>1054</v>
      </c>
      <c r="E13" s="12" t="s">
        <v>1055</v>
      </c>
    </row>
    <row r="14" customFormat="false" ht="35.05" hidden="false" customHeight="false" outlineLevel="0" collapsed="false">
      <c r="A14" s="12" t="s">
        <v>215</v>
      </c>
      <c r="B14" s="12" t="s">
        <v>1053</v>
      </c>
      <c r="C14" s="12" t="s">
        <v>1040</v>
      </c>
      <c r="D14" s="12" t="s">
        <v>1056</v>
      </c>
      <c r="E14" s="12" t="s">
        <v>1057</v>
      </c>
    </row>
    <row r="15" customFormat="false" ht="35.05" hidden="false" customHeight="false" outlineLevel="0" collapsed="false">
      <c r="A15" s="12" t="s">
        <v>215</v>
      </c>
      <c r="B15" s="12" t="s">
        <v>1053</v>
      </c>
      <c r="C15" s="12" t="s">
        <v>1040</v>
      </c>
      <c r="D15" s="12" t="s">
        <v>1058</v>
      </c>
      <c r="E15" s="12" t="s">
        <v>1059</v>
      </c>
    </row>
    <row r="16" customFormat="false" ht="35.05" hidden="false" customHeight="false" outlineLevel="0" collapsed="false">
      <c r="A16" s="12" t="s">
        <v>215</v>
      </c>
      <c r="B16" s="12" t="s">
        <v>1053</v>
      </c>
      <c r="C16" s="12" t="s">
        <v>1040</v>
      </c>
      <c r="D16" s="12" t="s">
        <v>1060</v>
      </c>
      <c r="E16" s="12" t="s">
        <v>1061</v>
      </c>
    </row>
    <row r="17" customFormat="false" ht="35.05" hidden="false" customHeight="false" outlineLevel="0" collapsed="false">
      <c r="A17" s="12" t="s">
        <v>215</v>
      </c>
      <c r="B17" s="12" t="s">
        <v>1053</v>
      </c>
      <c r="C17" s="12" t="s">
        <v>1040</v>
      </c>
      <c r="D17" s="12" t="s">
        <v>229</v>
      </c>
      <c r="E17" s="12" t="s">
        <v>1062</v>
      </c>
    </row>
    <row r="18" customFormat="false" ht="35.05" hidden="false" customHeight="false" outlineLevel="0" collapsed="false">
      <c r="A18" s="12" t="s">
        <v>215</v>
      </c>
      <c r="B18" s="12" t="s">
        <v>1053</v>
      </c>
      <c r="C18" s="12" t="s">
        <v>1040</v>
      </c>
      <c r="D18" s="12" t="s">
        <v>1063</v>
      </c>
      <c r="E18" s="12" t="s">
        <v>1064</v>
      </c>
    </row>
    <row r="19" customFormat="false" ht="46.25" hidden="false" customHeight="false" outlineLevel="0" collapsed="false">
      <c r="A19" s="12" t="s">
        <v>215</v>
      </c>
      <c r="B19" s="12" t="s">
        <v>1053</v>
      </c>
      <c r="C19" s="12" t="s">
        <v>1040</v>
      </c>
      <c r="D19" s="12" t="s">
        <v>1065</v>
      </c>
      <c r="E19" s="12" t="s">
        <v>1066</v>
      </c>
    </row>
    <row r="20" customFormat="false" ht="35.05" hidden="false" customHeight="false" outlineLevel="0" collapsed="false">
      <c r="A20" s="12" t="s">
        <v>215</v>
      </c>
      <c r="B20" s="12" t="s">
        <v>1053</v>
      </c>
      <c r="C20" s="12" t="s">
        <v>1040</v>
      </c>
      <c r="D20" s="12" t="s">
        <v>1067</v>
      </c>
      <c r="E20" s="12" t="s">
        <v>1068</v>
      </c>
    </row>
    <row r="21" customFormat="false" ht="35.05" hidden="false" customHeight="false" outlineLevel="0" collapsed="false">
      <c r="A21" s="12" t="s">
        <v>215</v>
      </c>
      <c r="B21" s="12" t="s">
        <v>1053</v>
      </c>
      <c r="C21" s="12" t="s">
        <v>1040</v>
      </c>
      <c r="D21" s="12" t="s">
        <v>1069</v>
      </c>
      <c r="E21" s="12" t="s">
        <v>1070</v>
      </c>
    </row>
    <row r="22" customFormat="false" ht="35.05" hidden="false" customHeight="false" outlineLevel="0" collapsed="false">
      <c r="A22" s="12" t="s">
        <v>215</v>
      </c>
      <c r="B22" s="12" t="s">
        <v>1053</v>
      </c>
      <c r="C22" s="12" t="s">
        <v>1040</v>
      </c>
      <c r="D22" s="12" t="s">
        <v>1071</v>
      </c>
      <c r="E22" s="12" t="s">
        <v>1072</v>
      </c>
    </row>
    <row r="23" customFormat="false" ht="35.05" hidden="false" customHeight="false" outlineLevel="0" collapsed="false">
      <c r="A23" s="12" t="s">
        <v>215</v>
      </c>
      <c r="B23" s="12" t="s">
        <v>1053</v>
      </c>
      <c r="C23" s="12" t="s">
        <v>1040</v>
      </c>
      <c r="D23" s="12" t="s">
        <v>1073</v>
      </c>
      <c r="E23" s="12" t="s">
        <v>1074</v>
      </c>
    </row>
    <row r="24" customFormat="false" ht="35.05" hidden="false" customHeight="false" outlineLevel="0" collapsed="false">
      <c r="A24" s="12" t="s">
        <v>215</v>
      </c>
      <c r="B24" s="12" t="s">
        <v>1075</v>
      </c>
      <c r="C24" s="12" t="s">
        <v>1040</v>
      </c>
      <c r="D24" s="12" t="s">
        <v>1076</v>
      </c>
      <c r="E24" s="12" t="s">
        <v>278</v>
      </c>
    </row>
    <row r="25" customFormat="false" ht="35.05" hidden="false" customHeight="false" outlineLevel="0" collapsed="false">
      <c r="A25" s="12" t="s">
        <v>215</v>
      </c>
      <c r="B25" s="12" t="s">
        <v>1077</v>
      </c>
      <c r="C25" s="12" t="s">
        <v>1040</v>
      </c>
      <c r="D25" s="12" t="s">
        <v>302</v>
      </c>
      <c r="E25" s="12" t="s">
        <v>1078</v>
      </c>
    </row>
    <row r="26" customFormat="false" ht="46.25" hidden="false" customHeight="false" outlineLevel="0" collapsed="false">
      <c r="A26" s="12" t="s">
        <v>215</v>
      </c>
      <c r="B26" s="12" t="s">
        <v>1077</v>
      </c>
      <c r="C26" s="12" t="s">
        <v>1040</v>
      </c>
      <c r="D26" s="12" t="s">
        <v>1079</v>
      </c>
      <c r="E26" s="12" t="s">
        <v>1080</v>
      </c>
    </row>
    <row r="27" customFormat="false" ht="35.05" hidden="false" customHeight="false" outlineLevel="0" collapsed="false">
      <c r="A27" s="12" t="s">
        <v>215</v>
      </c>
      <c r="B27" s="12" t="s">
        <v>1077</v>
      </c>
      <c r="C27" s="12" t="s">
        <v>1040</v>
      </c>
      <c r="D27" s="12" t="s">
        <v>1081</v>
      </c>
      <c r="E27" s="12" t="s">
        <v>1082</v>
      </c>
    </row>
    <row r="28" customFormat="false" ht="35.05" hidden="false" customHeight="false" outlineLevel="0" collapsed="false">
      <c r="A28" s="12" t="s">
        <v>215</v>
      </c>
      <c r="B28" s="12" t="s">
        <v>1083</v>
      </c>
      <c r="C28" s="12" t="s">
        <v>1040</v>
      </c>
      <c r="D28" s="12" t="s">
        <v>1084</v>
      </c>
      <c r="E28" s="12" t="s">
        <v>1085</v>
      </c>
    </row>
    <row r="29" customFormat="false" ht="35.05" hidden="false" customHeight="false" outlineLevel="0" collapsed="false">
      <c r="A29" s="12" t="s">
        <v>215</v>
      </c>
      <c r="B29" s="12" t="s">
        <v>1083</v>
      </c>
      <c r="C29" s="12" t="s">
        <v>1040</v>
      </c>
      <c r="D29" s="12" t="s">
        <v>1086</v>
      </c>
      <c r="E29" s="12" t="s">
        <v>1087</v>
      </c>
    </row>
    <row r="30" customFormat="false" ht="35.05" hidden="false" customHeight="false" outlineLevel="0" collapsed="false">
      <c r="A30" s="12" t="s">
        <v>215</v>
      </c>
      <c r="B30" s="12" t="s">
        <v>1088</v>
      </c>
      <c r="C30" s="12" t="s">
        <v>1040</v>
      </c>
      <c r="D30" s="12" t="s">
        <v>1089</v>
      </c>
      <c r="E30" s="12" t="s">
        <v>293</v>
      </c>
    </row>
    <row r="31" customFormat="false" ht="35.05" hidden="false" customHeight="false" outlineLevel="0" collapsed="false">
      <c r="A31" s="12" t="s">
        <v>215</v>
      </c>
      <c r="B31" s="12" t="s">
        <v>1088</v>
      </c>
      <c r="C31" s="12" t="s">
        <v>1040</v>
      </c>
      <c r="D31" s="12" t="s">
        <v>1090</v>
      </c>
      <c r="E31" s="12" t="s">
        <v>298</v>
      </c>
    </row>
    <row r="32" customFormat="false" ht="35.05" hidden="false" customHeight="false" outlineLevel="0" collapsed="false">
      <c r="A32" s="12" t="s">
        <v>215</v>
      </c>
      <c r="B32" s="12" t="s">
        <v>1088</v>
      </c>
      <c r="C32" s="12" t="s">
        <v>1040</v>
      </c>
      <c r="D32" s="12" t="s">
        <v>1091</v>
      </c>
      <c r="E32" s="12" t="s">
        <v>300</v>
      </c>
    </row>
    <row r="33" customFormat="false" ht="35.05" hidden="false" customHeight="false" outlineLevel="0" collapsed="false">
      <c r="A33" s="12" t="s">
        <v>215</v>
      </c>
      <c r="B33" s="12" t="s">
        <v>1088</v>
      </c>
      <c r="C33" s="12" t="s">
        <v>1040</v>
      </c>
      <c r="D33" s="12" t="s">
        <v>1092</v>
      </c>
      <c r="E33" s="12" t="s">
        <v>295</v>
      </c>
    </row>
    <row r="34" customFormat="false" ht="35.05" hidden="false" customHeight="false" outlineLevel="0" collapsed="false">
      <c r="A34" s="12" t="s">
        <v>215</v>
      </c>
      <c r="B34" s="12" t="s">
        <v>1088</v>
      </c>
      <c r="C34" s="12" t="s">
        <v>1040</v>
      </c>
      <c r="D34" s="12" t="s">
        <v>1093</v>
      </c>
      <c r="E34" s="12" t="s">
        <v>308</v>
      </c>
    </row>
    <row r="35" customFormat="false" ht="35.05" hidden="false" customHeight="false" outlineLevel="0" collapsed="false">
      <c r="A35" s="12" t="s">
        <v>215</v>
      </c>
      <c r="B35" s="12" t="s">
        <v>1094</v>
      </c>
      <c r="C35" s="12" t="s">
        <v>1040</v>
      </c>
      <c r="D35" s="12" t="s">
        <v>1095</v>
      </c>
      <c r="E35" s="12" t="s">
        <v>1096</v>
      </c>
    </row>
    <row r="36" customFormat="false" ht="35.05" hidden="false" customHeight="false" outlineLevel="0" collapsed="false">
      <c r="A36" s="12" t="s">
        <v>215</v>
      </c>
      <c r="B36" s="12" t="s">
        <v>1094</v>
      </c>
      <c r="C36" s="12" t="s">
        <v>1040</v>
      </c>
      <c r="D36" s="12" t="s">
        <v>1097</v>
      </c>
      <c r="E36" s="12" t="s">
        <v>1098</v>
      </c>
    </row>
    <row r="37" customFormat="false" ht="35.05" hidden="false" customHeight="false" outlineLevel="0" collapsed="false">
      <c r="A37" s="12" t="s">
        <v>215</v>
      </c>
      <c r="B37" s="12" t="s">
        <v>1099</v>
      </c>
      <c r="C37" s="12" t="s">
        <v>38</v>
      </c>
      <c r="D37" s="12" t="s">
        <v>1100</v>
      </c>
      <c r="E37" s="12" t="s">
        <v>463</v>
      </c>
    </row>
    <row r="38" customFormat="false" ht="35.05" hidden="false" customHeight="false" outlineLevel="0" collapsed="false">
      <c r="A38" s="12" t="s">
        <v>215</v>
      </c>
      <c r="B38" s="12" t="s">
        <v>1099</v>
      </c>
      <c r="C38" s="12" t="s">
        <v>38</v>
      </c>
      <c r="D38" s="12" t="s">
        <v>117</v>
      </c>
      <c r="E38" s="12" t="s">
        <v>593</v>
      </c>
    </row>
    <row r="39" customFormat="false" ht="35.05" hidden="false" customHeight="false" outlineLevel="0" collapsed="false">
      <c r="A39" s="12" t="s">
        <v>215</v>
      </c>
      <c r="B39" s="12" t="s">
        <v>1099</v>
      </c>
      <c r="C39" s="12" t="s">
        <v>38</v>
      </c>
      <c r="D39" s="12" t="s">
        <v>1101</v>
      </c>
      <c r="E39" s="12" t="s">
        <v>1102</v>
      </c>
    </row>
    <row r="40" customFormat="false" ht="35.05" hidden="false" customHeight="false" outlineLevel="0" collapsed="false">
      <c r="A40" s="12" t="s">
        <v>337</v>
      </c>
      <c r="B40" s="12" t="s">
        <v>1103</v>
      </c>
      <c r="C40" s="12" t="s">
        <v>1040</v>
      </c>
      <c r="D40" s="12" t="s">
        <v>1104</v>
      </c>
      <c r="E40" s="12" t="s">
        <v>1105</v>
      </c>
    </row>
    <row r="41" customFormat="false" ht="35.05" hidden="false" customHeight="false" outlineLevel="0" collapsed="false">
      <c r="A41" s="12" t="s">
        <v>337</v>
      </c>
      <c r="B41" s="12" t="s">
        <v>1103</v>
      </c>
      <c r="C41" s="12" t="s">
        <v>1040</v>
      </c>
      <c r="D41" s="12" t="s">
        <v>1106</v>
      </c>
      <c r="E41" s="12" t="s">
        <v>1107</v>
      </c>
    </row>
    <row r="42" customFormat="false" ht="35.05" hidden="false" customHeight="false" outlineLevel="0" collapsed="false">
      <c r="A42" s="12" t="s">
        <v>337</v>
      </c>
      <c r="B42" s="12" t="s">
        <v>1103</v>
      </c>
      <c r="C42" s="12" t="s">
        <v>1040</v>
      </c>
      <c r="D42" s="12" t="s">
        <v>1108</v>
      </c>
      <c r="E42" s="12" t="s">
        <v>1109</v>
      </c>
    </row>
    <row r="43" customFormat="false" ht="35.05" hidden="false" customHeight="false" outlineLevel="0" collapsed="false">
      <c r="A43" s="12" t="s">
        <v>337</v>
      </c>
      <c r="B43" s="12" t="s">
        <v>1103</v>
      </c>
      <c r="C43" s="12" t="s">
        <v>1040</v>
      </c>
      <c r="D43" s="12" t="s">
        <v>1110</v>
      </c>
      <c r="E43" s="12" t="s">
        <v>1111</v>
      </c>
    </row>
    <row r="44" customFormat="false" ht="35.05" hidden="false" customHeight="false" outlineLevel="0" collapsed="false">
      <c r="A44" s="12" t="s">
        <v>337</v>
      </c>
      <c r="B44" s="12" t="s">
        <v>1103</v>
      </c>
      <c r="C44" s="12" t="s">
        <v>1040</v>
      </c>
      <c r="D44" s="12" t="s">
        <v>1112</v>
      </c>
      <c r="E44" s="12" t="s">
        <v>1113</v>
      </c>
    </row>
    <row r="45" customFormat="false" ht="35.05" hidden="false" customHeight="false" outlineLevel="0" collapsed="false">
      <c r="A45" s="12" t="s">
        <v>337</v>
      </c>
      <c r="B45" s="12" t="s">
        <v>1103</v>
      </c>
      <c r="C45" s="12" t="s">
        <v>1040</v>
      </c>
      <c r="D45" s="12" t="s">
        <v>1114</v>
      </c>
      <c r="E45" s="12" t="s">
        <v>1115</v>
      </c>
    </row>
    <row r="46" customFormat="false" ht="35.05" hidden="false" customHeight="false" outlineLevel="0" collapsed="false">
      <c r="A46" s="12" t="s">
        <v>337</v>
      </c>
      <c r="B46" s="12" t="s">
        <v>1103</v>
      </c>
      <c r="C46" s="12" t="s">
        <v>1040</v>
      </c>
      <c r="D46" s="12" t="s">
        <v>1116</v>
      </c>
      <c r="E46" s="12" t="s">
        <v>1117</v>
      </c>
    </row>
    <row r="47" customFormat="false" ht="35.05" hidden="false" customHeight="false" outlineLevel="0" collapsed="false">
      <c r="A47" s="12" t="s">
        <v>337</v>
      </c>
      <c r="B47" s="12" t="s">
        <v>1103</v>
      </c>
      <c r="C47" s="12" t="s">
        <v>1040</v>
      </c>
      <c r="D47" s="12" t="s">
        <v>1118</v>
      </c>
      <c r="E47" s="12" t="s">
        <v>1119</v>
      </c>
    </row>
    <row r="48" customFormat="false" ht="35.05" hidden="false" customHeight="false" outlineLevel="0" collapsed="false">
      <c r="A48" s="12" t="s">
        <v>337</v>
      </c>
      <c r="B48" s="12" t="s">
        <v>1103</v>
      </c>
      <c r="C48" s="12" t="s">
        <v>1040</v>
      </c>
      <c r="D48" s="12" t="s">
        <v>1120</v>
      </c>
      <c r="E48" s="12" t="s">
        <v>1121</v>
      </c>
    </row>
    <row r="49" customFormat="false" ht="35.05" hidden="false" customHeight="false" outlineLevel="0" collapsed="false">
      <c r="A49" s="12" t="s">
        <v>337</v>
      </c>
      <c r="B49" s="12" t="s">
        <v>1103</v>
      </c>
      <c r="C49" s="12" t="s">
        <v>1040</v>
      </c>
      <c r="D49" s="12" t="s">
        <v>1122</v>
      </c>
      <c r="E49" s="12" t="s">
        <v>1123</v>
      </c>
    </row>
    <row r="50" customFormat="false" ht="35.05" hidden="false" customHeight="false" outlineLevel="0" collapsed="false">
      <c r="A50" s="12" t="s">
        <v>337</v>
      </c>
      <c r="B50" s="12" t="s">
        <v>1103</v>
      </c>
      <c r="C50" s="12" t="s">
        <v>1040</v>
      </c>
      <c r="D50" s="12" t="s">
        <v>1124</v>
      </c>
      <c r="E50" s="12" t="s">
        <v>1125</v>
      </c>
    </row>
    <row r="51" customFormat="false" ht="35.05" hidden="false" customHeight="false" outlineLevel="0" collapsed="false">
      <c r="A51" s="12" t="s">
        <v>337</v>
      </c>
      <c r="B51" s="12" t="s">
        <v>1126</v>
      </c>
      <c r="C51" s="12" t="s">
        <v>1040</v>
      </c>
      <c r="D51" s="12" t="s">
        <v>1127</v>
      </c>
      <c r="E51" s="12" t="s">
        <v>1128</v>
      </c>
    </row>
    <row r="52" customFormat="false" ht="35.05" hidden="false" customHeight="false" outlineLevel="0" collapsed="false">
      <c r="A52" s="12" t="s">
        <v>337</v>
      </c>
      <c r="B52" s="12" t="s">
        <v>1126</v>
      </c>
      <c r="C52" s="12" t="s">
        <v>1040</v>
      </c>
      <c r="D52" s="12" t="s">
        <v>1129</v>
      </c>
      <c r="E52" s="12" t="s">
        <v>1130</v>
      </c>
    </row>
    <row r="53" customFormat="false" ht="35.05" hidden="false" customHeight="false" outlineLevel="0" collapsed="false">
      <c r="A53" s="12" t="s">
        <v>337</v>
      </c>
      <c r="B53" s="12" t="s">
        <v>1126</v>
      </c>
      <c r="C53" s="12" t="s">
        <v>1040</v>
      </c>
      <c r="D53" s="12" t="s">
        <v>1131</v>
      </c>
      <c r="E53" s="12" t="s">
        <v>435</v>
      </c>
    </row>
    <row r="54" customFormat="false" ht="35.05" hidden="false" customHeight="false" outlineLevel="0" collapsed="false">
      <c r="A54" s="12" t="s">
        <v>337</v>
      </c>
      <c r="B54" s="12" t="s">
        <v>1126</v>
      </c>
      <c r="C54" s="12" t="s">
        <v>1040</v>
      </c>
      <c r="D54" s="12" t="s">
        <v>1132</v>
      </c>
      <c r="E54" s="12" t="s">
        <v>1133</v>
      </c>
    </row>
    <row r="55" customFormat="false" ht="35.05" hidden="false" customHeight="false" outlineLevel="0" collapsed="false">
      <c r="A55" s="12" t="s">
        <v>337</v>
      </c>
      <c r="B55" s="12" t="s">
        <v>1134</v>
      </c>
      <c r="C55" s="12" t="s">
        <v>1040</v>
      </c>
      <c r="D55" s="12" t="s">
        <v>1135</v>
      </c>
      <c r="E55" s="12" t="s">
        <v>1136</v>
      </c>
    </row>
    <row r="56" customFormat="false" ht="35.05" hidden="false" customHeight="false" outlineLevel="0" collapsed="false">
      <c r="A56" s="12" t="s">
        <v>337</v>
      </c>
      <c r="B56" s="12" t="s">
        <v>1134</v>
      </c>
      <c r="C56" s="12" t="s">
        <v>1040</v>
      </c>
      <c r="D56" s="12" t="s">
        <v>1137</v>
      </c>
      <c r="E56" s="12" t="s">
        <v>1138</v>
      </c>
    </row>
    <row r="57" customFormat="false" ht="46.25" hidden="false" customHeight="false" outlineLevel="0" collapsed="false">
      <c r="A57" s="12" t="s">
        <v>337</v>
      </c>
      <c r="B57" s="12" t="s">
        <v>1134</v>
      </c>
      <c r="C57" s="12" t="s">
        <v>1040</v>
      </c>
      <c r="D57" s="12" t="s">
        <v>1139</v>
      </c>
      <c r="E57" s="12" t="s">
        <v>1140</v>
      </c>
    </row>
    <row r="58" customFormat="false" ht="35.05" hidden="false" customHeight="false" outlineLevel="0" collapsed="false">
      <c r="A58" s="12" t="s">
        <v>337</v>
      </c>
      <c r="B58" s="12" t="s">
        <v>1134</v>
      </c>
      <c r="C58" s="12" t="s">
        <v>1040</v>
      </c>
      <c r="D58" s="12" t="s">
        <v>1141</v>
      </c>
      <c r="E58" s="12" t="s">
        <v>1142</v>
      </c>
    </row>
    <row r="59" customFormat="false" ht="35.05" hidden="false" customHeight="false" outlineLevel="0" collapsed="false">
      <c r="A59" s="12" t="s">
        <v>337</v>
      </c>
      <c r="B59" s="12" t="s">
        <v>1134</v>
      </c>
      <c r="C59" s="12" t="s">
        <v>1040</v>
      </c>
      <c r="D59" s="12" t="s">
        <v>1143</v>
      </c>
      <c r="E59" s="12" t="s">
        <v>1144</v>
      </c>
    </row>
    <row r="60" customFormat="false" ht="35.05" hidden="false" customHeight="false" outlineLevel="0" collapsed="false">
      <c r="A60" s="12" t="s">
        <v>337</v>
      </c>
      <c r="B60" s="12" t="s">
        <v>1134</v>
      </c>
      <c r="C60" s="12" t="s">
        <v>1040</v>
      </c>
      <c r="D60" s="12" t="s">
        <v>1145</v>
      </c>
      <c r="E60" s="12" t="s">
        <v>1146</v>
      </c>
    </row>
    <row r="61" customFormat="false" ht="35.05" hidden="false" customHeight="false" outlineLevel="0" collapsed="false">
      <c r="A61" s="12" t="s">
        <v>337</v>
      </c>
      <c r="B61" s="12" t="s">
        <v>1134</v>
      </c>
      <c r="C61" s="12" t="s">
        <v>1040</v>
      </c>
      <c r="D61" s="12" t="s">
        <v>1147</v>
      </c>
      <c r="E61" s="12" t="s">
        <v>1148</v>
      </c>
    </row>
    <row r="62" customFormat="false" ht="46.25" hidden="false" customHeight="false" outlineLevel="0" collapsed="false">
      <c r="A62" s="12" t="s">
        <v>337</v>
      </c>
      <c r="B62" s="12" t="s">
        <v>1134</v>
      </c>
      <c r="C62" s="12" t="s">
        <v>1040</v>
      </c>
      <c r="D62" s="12" t="s">
        <v>1149</v>
      </c>
      <c r="E62" s="12" t="s">
        <v>1150</v>
      </c>
    </row>
    <row r="63" customFormat="false" ht="35.05" hidden="false" customHeight="false" outlineLevel="0" collapsed="false">
      <c r="A63" s="12" t="s">
        <v>337</v>
      </c>
      <c r="B63" s="12" t="s">
        <v>1134</v>
      </c>
      <c r="C63" s="12" t="s">
        <v>1040</v>
      </c>
      <c r="D63" s="12" t="s">
        <v>1151</v>
      </c>
      <c r="E63" s="12" t="s">
        <v>1152</v>
      </c>
    </row>
    <row r="64" customFormat="false" ht="35.05" hidden="false" customHeight="false" outlineLevel="0" collapsed="false">
      <c r="A64" s="12" t="s">
        <v>337</v>
      </c>
      <c r="B64" s="12" t="s">
        <v>1153</v>
      </c>
      <c r="C64" s="12" t="s">
        <v>38</v>
      </c>
      <c r="D64" s="12" t="s">
        <v>1147</v>
      </c>
      <c r="E64" s="12" t="s">
        <v>1148</v>
      </c>
    </row>
    <row r="65" customFormat="false" ht="35.05" hidden="false" customHeight="false" outlineLevel="0" collapsed="false">
      <c r="A65" s="12" t="s">
        <v>337</v>
      </c>
      <c r="B65" s="12" t="s">
        <v>1153</v>
      </c>
      <c r="C65" s="12" t="s">
        <v>38</v>
      </c>
      <c r="D65" s="12" t="s">
        <v>1154</v>
      </c>
      <c r="E65" s="12" t="s">
        <v>1155</v>
      </c>
    </row>
    <row r="66" customFormat="false" ht="35.05" hidden="false" customHeight="false" outlineLevel="0" collapsed="false">
      <c r="A66" s="12" t="s">
        <v>337</v>
      </c>
      <c r="B66" s="12" t="s">
        <v>1153</v>
      </c>
      <c r="C66" s="12" t="s">
        <v>38</v>
      </c>
      <c r="D66" s="12" t="s">
        <v>1156</v>
      </c>
      <c r="E66" s="12" t="s">
        <v>1157</v>
      </c>
    </row>
    <row r="67" customFormat="false" ht="35.05" hidden="false" customHeight="false" outlineLevel="0" collapsed="false">
      <c r="A67" s="12" t="s">
        <v>337</v>
      </c>
      <c r="B67" s="12" t="s">
        <v>1153</v>
      </c>
      <c r="C67" s="12" t="s">
        <v>38</v>
      </c>
      <c r="D67" s="12" t="s">
        <v>1158</v>
      </c>
      <c r="E67" s="12" t="s">
        <v>1159</v>
      </c>
    </row>
    <row r="68" customFormat="false" ht="35.05" hidden="false" customHeight="false" outlineLevel="0" collapsed="false">
      <c r="A68" s="12" t="s">
        <v>337</v>
      </c>
      <c r="B68" s="12" t="s">
        <v>1160</v>
      </c>
      <c r="C68" s="12" t="s">
        <v>1040</v>
      </c>
      <c r="D68" s="12" t="s">
        <v>1161</v>
      </c>
      <c r="E68" s="12" t="s">
        <v>417</v>
      </c>
    </row>
    <row r="69" customFormat="false" ht="35.05" hidden="false" customHeight="false" outlineLevel="0" collapsed="false">
      <c r="A69" s="12" t="s">
        <v>337</v>
      </c>
      <c r="B69" s="12" t="s">
        <v>1160</v>
      </c>
      <c r="C69" s="12" t="s">
        <v>1040</v>
      </c>
      <c r="D69" s="12" t="s">
        <v>1162</v>
      </c>
      <c r="E69" s="12" t="s">
        <v>421</v>
      </c>
    </row>
    <row r="70" customFormat="false" ht="35.05" hidden="false" customHeight="false" outlineLevel="0" collapsed="false">
      <c r="A70" s="12" t="s">
        <v>337</v>
      </c>
      <c r="B70" s="12" t="s">
        <v>1160</v>
      </c>
      <c r="C70" s="12" t="s">
        <v>1040</v>
      </c>
      <c r="D70" s="12" t="s">
        <v>1163</v>
      </c>
      <c r="E70" s="12" t="s">
        <v>424</v>
      </c>
    </row>
    <row r="71" customFormat="false" ht="35.05" hidden="false" customHeight="false" outlineLevel="0" collapsed="false">
      <c r="A71" s="12" t="s">
        <v>337</v>
      </c>
      <c r="B71" s="12" t="s">
        <v>1160</v>
      </c>
      <c r="C71" s="12" t="s">
        <v>1040</v>
      </c>
      <c r="D71" s="12" t="s">
        <v>1164</v>
      </c>
      <c r="E71" s="12" t="s">
        <v>460</v>
      </c>
    </row>
    <row r="72" customFormat="false" ht="35.05" hidden="false" customHeight="false" outlineLevel="0" collapsed="false">
      <c r="A72" s="12" t="s">
        <v>337</v>
      </c>
      <c r="B72" s="12" t="s">
        <v>1160</v>
      </c>
      <c r="C72" s="12" t="s">
        <v>1040</v>
      </c>
      <c r="D72" s="12" t="s">
        <v>1165</v>
      </c>
      <c r="E72" s="12" t="s">
        <v>1166</v>
      </c>
    </row>
    <row r="73" customFormat="false" ht="35.05" hidden="false" customHeight="false" outlineLevel="0" collapsed="false">
      <c r="A73" s="12" t="s">
        <v>337</v>
      </c>
      <c r="B73" s="12" t="s">
        <v>149</v>
      </c>
      <c r="C73" s="12" t="s">
        <v>38</v>
      </c>
      <c r="D73" s="12" t="s">
        <v>1167</v>
      </c>
      <c r="E73" s="12" t="s">
        <v>1168</v>
      </c>
    </row>
    <row r="74" customFormat="false" ht="35.05" hidden="false" customHeight="false" outlineLevel="0" collapsed="false">
      <c r="A74" s="12" t="s">
        <v>337</v>
      </c>
      <c r="B74" s="12" t="s">
        <v>149</v>
      </c>
      <c r="C74" s="12" t="s">
        <v>38</v>
      </c>
      <c r="D74" s="12" t="s">
        <v>1169</v>
      </c>
      <c r="E74" s="12" t="s">
        <v>1170</v>
      </c>
    </row>
    <row r="75" customFormat="false" ht="35.05" hidden="false" customHeight="false" outlineLevel="0" collapsed="false">
      <c r="A75" s="12" t="s">
        <v>337</v>
      </c>
      <c r="B75" s="12" t="s">
        <v>149</v>
      </c>
      <c r="C75" s="12" t="s">
        <v>38</v>
      </c>
      <c r="D75" s="12" t="s">
        <v>1171</v>
      </c>
      <c r="E75" s="12" t="s">
        <v>569</v>
      </c>
    </row>
    <row r="76" customFormat="false" ht="35.05" hidden="false" customHeight="false" outlineLevel="0" collapsed="false">
      <c r="A76" s="12" t="s">
        <v>337</v>
      </c>
      <c r="B76" s="12" t="s">
        <v>1172</v>
      </c>
      <c r="C76" s="12" t="s">
        <v>38</v>
      </c>
      <c r="D76" s="12" t="s">
        <v>1173</v>
      </c>
      <c r="E76" s="12" t="s">
        <v>410</v>
      </c>
    </row>
    <row r="77" customFormat="false" ht="35.05" hidden="false" customHeight="false" outlineLevel="0" collapsed="false">
      <c r="A77" s="12" t="s">
        <v>337</v>
      </c>
      <c r="B77" s="12" t="s">
        <v>1172</v>
      </c>
      <c r="C77" s="12" t="s">
        <v>38</v>
      </c>
      <c r="D77" s="12" t="s">
        <v>1174</v>
      </c>
      <c r="E77" s="12" t="s">
        <v>1175</v>
      </c>
    </row>
    <row r="78" customFormat="false" ht="35.05" hidden="false" customHeight="false" outlineLevel="0" collapsed="false">
      <c r="A78" s="12" t="s">
        <v>337</v>
      </c>
      <c r="B78" s="12" t="s">
        <v>1176</v>
      </c>
      <c r="C78" s="12" t="s">
        <v>1040</v>
      </c>
      <c r="D78" s="12" t="s">
        <v>1177</v>
      </c>
      <c r="E78" s="12" t="s">
        <v>406</v>
      </c>
    </row>
    <row r="79" customFormat="false" ht="35.05" hidden="false" customHeight="false" outlineLevel="0" collapsed="false">
      <c r="A79" s="12" t="s">
        <v>337</v>
      </c>
      <c r="B79" s="12" t="s">
        <v>1176</v>
      </c>
      <c r="C79" s="12" t="s">
        <v>1040</v>
      </c>
      <c r="D79" s="12" t="s">
        <v>1178</v>
      </c>
      <c r="E79" s="12" t="s">
        <v>1179</v>
      </c>
    </row>
    <row r="80" customFormat="false" ht="35.05" hidden="false" customHeight="false" outlineLevel="0" collapsed="false">
      <c r="A80" s="12" t="s">
        <v>337</v>
      </c>
      <c r="B80" s="12" t="s">
        <v>1180</v>
      </c>
      <c r="C80" s="12" t="s">
        <v>38</v>
      </c>
      <c r="D80" s="12" t="s">
        <v>1181</v>
      </c>
      <c r="E80" s="12" t="s">
        <v>627</v>
      </c>
    </row>
    <row r="81" customFormat="false" ht="46.25" hidden="false" customHeight="false" outlineLevel="0" collapsed="false">
      <c r="A81" s="12" t="s">
        <v>337</v>
      </c>
      <c r="B81" s="12" t="s">
        <v>1180</v>
      </c>
      <c r="C81" s="12" t="s">
        <v>38</v>
      </c>
      <c r="D81" s="12" t="s">
        <v>1182</v>
      </c>
      <c r="E81" s="12" t="s">
        <v>630</v>
      </c>
    </row>
    <row r="82" customFormat="false" ht="35.05" hidden="false" customHeight="false" outlineLevel="0" collapsed="false">
      <c r="A82" s="12" t="s">
        <v>390</v>
      </c>
      <c r="B82" s="12" t="s">
        <v>1183</v>
      </c>
      <c r="C82" s="12" t="s">
        <v>1040</v>
      </c>
      <c r="D82" s="12" t="s">
        <v>1158</v>
      </c>
      <c r="E82" s="12" t="s">
        <v>1159</v>
      </c>
    </row>
    <row r="83" customFormat="false" ht="35.05" hidden="false" customHeight="false" outlineLevel="0" collapsed="false">
      <c r="A83" s="12" t="s">
        <v>390</v>
      </c>
      <c r="B83" s="12" t="s">
        <v>1183</v>
      </c>
      <c r="C83" s="12" t="s">
        <v>1040</v>
      </c>
      <c r="D83" s="12" t="s">
        <v>1184</v>
      </c>
      <c r="E83" s="12" t="s">
        <v>1185</v>
      </c>
    </row>
    <row r="84" customFormat="false" ht="35.05" hidden="false" customHeight="false" outlineLevel="0" collapsed="false">
      <c r="A84" s="12" t="s">
        <v>390</v>
      </c>
      <c r="B84" s="12" t="s">
        <v>1183</v>
      </c>
      <c r="C84" s="12" t="s">
        <v>1040</v>
      </c>
      <c r="D84" s="12" t="s">
        <v>1186</v>
      </c>
      <c r="E84" s="12" t="s">
        <v>1187</v>
      </c>
    </row>
    <row r="85" customFormat="false" ht="35.05" hidden="false" customHeight="false" outlineLevel="0" collapsed="false">
      <c r="A85" s="12" t="s">
        <v>390</v>
      </c>
      <c r="B85" s="12" t="s">
        <v>1188</v>
      </c>
      <c r="C85" s="12" t="s">
        <v>1040</v>
      </c>
      <c r="D85" s="12" t="s">
        <v>1127</v>
      </c>
      <c r="E85" s="12" t="s">
        <v>1128</v>
      </c>
    </row>
    <row r="86" customFormat="false" ht="35.05" hidden="false" customHeight="false" outlineLevel="0" collapsed="false">
      <c r="A86" s="12" t="s">
        <v>390</v>
      </c>
      <c r="B86" s="12" t="s">
        <v>1188</v>
      </c>
      <c r="C86" s="12" t="s">
        <v>1040</v>
      </c>
      <c r="D86" s="12" t="s">
        <v>1189</v>
      </c>
      <c r="E86" s="12" t="s">
        <v>1190</v>
      </c>
    </row>
    <row r="87" customFormat="false" ht="35.05" hidden="false" customHeight="false" outlineLevel="0" collapsed="false">
      <c r="A87" s="12" t="s">
        <v>390</v>
      </c>
      <c r="B87" s="12" t="s">
        <v>1188</v>
      </c>
      <c r="C87" s="12" t="s">
        <v>1040</v>
      </c>
      <c r="D87" s="12" t="s">
        <v>1191</v>
      </c>
      <c r="E87" s="12" t="s">
        <v>1192</v>
      </c>
    </row>
    <row r="88" customFormat="false" ht="35.05" hidden="false" customHeight="false" outlineLevel="0" collapsed="false">
      <c r="A88" s="12" t="s">
        <v>390</v>
      </c>
      <c r="B88" s="12" t="s">
        <v>1193</v>
      </c>
      <c r="C88" s="12" t="s">
        <v>1040</v>
      </c>
      <c r="D88" s="12" t="s">
        <v>1194</v>
      </c>
      <c r="E88" s="12" t="s">
        <v>439</v>
      </c>
    </row>
    <row r="89" customFormat="false" ht="35.05" hidden="false" customHeight="false" outlineLevel="0" collapsed="false">
      <c r="A89" s="12" t="s">
        <v>390</v>
      </c>
      <c r="B89" s="12" t="s">
        <v>1193</v>
      </c>
      <c r="C89" s="12" t="s">
        <v>1040</v>
      </c>
      <c r="D89" s="12" t="s">
        <v>117</v>
      </c>
      <c r="E89" s="12" t="s">
        <v>593</v>
      </c>
    </row>
    <row r="90" customFormat="false" ht="35.05" hidden="false" customHeight="false" outlineLevel="0" collapsed="false">
      <c r="A90" s="12" t="s">
        <v>390</v>
      </c>
      <c r="B90" s="12" t="s">
        <v>1193</v>
      </c>
      <c r="C90" s="12" t="s">
        <v>1040</v>
      </c>
      <c r="D90" s="12" t="s">
        <v>1195</v>
      </c>
      <c r="E90" s="12" t="s">
        <v>1196</v>
      </c>
    </row>
    <row r="91" customFormat="false" ht="35.05" hidden="false" customHeight="false" outlineLevel="0" collapsed="false">
      <c r="A91" s="12" t="s">
        <v>390</v>
      </c>
      <c r="B91" s="12" t="s">
        <v>1197</v>
      </c>
      <c r="C91" s="12" t="s">
        <v>1041</v>
      </c>
      <c r="D91" s="12" t="s">
        <v>1198</v>
      </c>
      <c r="E91" s="12" t="s">
        <v>1199</v>
      </c>
    </row>
    <row r="92" customFormat="false" ht="35.05" hidden="false" customHeight="false" outlineLevel="0" collapsed="false">
      <c r="A92" s="12" t="s">
        <v>390</v>
      </c>
      <c r="B92" s="12" t="s">
        <v>1197</v>
      </c>
      <c r="C92" s="12" t="s">
        <v>1041</v>
      </c>
      <c r="D92" s="12" t="s">
        <v>1200</v>
      </c>
      <c r="E92" s="12" t="s">
        <v>1201</v>
      </c>
    </row>
    <row r="93" customFormat="false" ht="35.05" hidden="false" customHeight="false" outlineLevel="0" collapsed="false">
      <c r="A93" s="12" t="s">
        <v>390</v>
      </c>
      <c r="B93" s="12" t="s">
        <v>1197</v>
      </c>
      <c r="C93" s="12" t="s">
        <v>1041</v>
      </c>
      <c r="D93" s="12" t="s">
        <v>1202</v>
      </c>
      <c r="E93" s="12" t="s">
        <v>1203</v>
      </c>
    </row>
    <row r="94" customFormat="false" ht="46.25" hidden="false" customHeight="false" outlineLevel="0" collapsed="false">
      <c r="A94" s="12" t="s">
        <v>390</v>
      </c>
      <c r="B94" s="12" t="s">
        <v>1204</v>
      </c>
      <c r="C94" s="12" t="s">
        <v>1040</v>
      </c>
      <c r="D94" s="12" t="s">
        <v>1205</v>
      </c>
      <c r="E94" s="12" t="s">
        <v>533</v>
      </c>
    </row>
    <row r="95" customFormat="false" ht="35.05" hidden="false" customHeight="false" outlineLevel="0" collapsed="false">
      <c r="A95" s="12" t="s">
        <v>390</v>
      </c>
      <c r="B95" s="12" t="s">
        <v>1204</v>
      </c>
      <c r="C95" s="12" t="s">
        <v>1040</v>
      </c>
      <c r="D95" s="12" t="s">
        <v>1206</v>
      </c>
      <c r="E95" s="12" t="s">
        <v>530</v>
      </c>
    </row>
    <row r="96" customFormat="false" ht="46.25" hidden="false" customHeight="false" outlineLevel="0" collapsed="false">
      <c r="A96" s="12" t="s">
        <v>390</v>
      </c>
      <c r="B96" s="12" t="s">
        <v>1207</v>
      </c>
      <c r="C96" s="12" t="s">
        <v>1042</v>
      </c>
      <c r="D96" s="12" t="s">
        <v>1208</v>
      </c>
      <c r="E96" s="12" t="s">
        <v>1209</v>
      </c>
    </row>
    <row r="97" customFormat="false" ht="35.05" hidden="false" customHeight="false" outlineLevel="0" collapsed="false">
      <c r="A97" s="12" t="s">
        <v>390</v>
      </c>
      <c r="B97" s="12" t="s">
        <v>1207</v>
      </c>
      <c r="C97" s="12" t="s">
        <v>1042</v>
      </c>
      <c r="D97" s="12" t="s">
        <v>1210</v>
      </c>
      <c r="E97" s="12" t="s">
        <v>1211</v>
      </c>
    </row>
    <row r="98" customFormat="false" ht="35.05" hidden="false" customHeight="false" outlineLevel="0" collapsed="false">
      <c r="A98" s="12" t="s">
        <v>390</v>
      </c>
      <c r="B98" s="12" t="s">
        <v>1207</v>
      </c>
      <c r="C98" s="12" t="s">
        <v>1042</v>
      </c>
      <c r="D98" s="12" t="s">
        <v>1212</v>
      </c>
      <c r="E98" s="12" t="s">
        <v>1213</v>
      </c>
    </row>
    <row r="99" customFormat="false" ht="35.05" hidden="false" customHeight="false" outlineLevel="0" collapsed="false">
      <c r="A99" s="12" t="s">
        <v>390</v>
      </c>
      <c r="B99" s="12" t="s">
        <v>1207</v>
      </c>
      <c r="C99" s="12" t="s">
        <v>1042</v>
      </c>
      <c r="D99" s="12" t="s">
        <v>1214</v>
      </c>
      <c r="E99" s="12" t="s">
        <v>1215</v>
      </c>
    </row>
    <row r="100" customFormat="false" ht="35.05" hidden="false" customHeight="false" outlineLevel="0" collapsed="false">
      <c r="A100" s="12" t="s">
        <v>390</v>
      </c>
      <c r="B100" s="12" t="s">
        <v>127</v>
      </c>
      <c r="C100" s="12" t="s">
        <v>38</v>
      </c>
      <c r="D100" s="12" t="s">
        <v>1216</v>
      </c>
      <c r="E100" s="12" t="s">
        <v>1217</v>
      </c>
    </row>
    <row r="101" customFormat="false" ht="35.05" hidden="false" customHeight="false" outlineLevel="0" collapsed="false">
      <c r="A101" s="12" t="s">
        <v>390</v>
      </c>
      <c r="B101" s="12" t="s">
        <v>127</v>
      </c>
      <c r="C101" s="12" t="s">
        <v>38</v>
      </c>
      <c r="D101" s="12" t="s">
        <v>1218</v>
      </c>
      <c r="E101" s="12" t="s">
        <v>1219</v>
      </c>
    </row>
    <row r="102" customFormat="false" ht="35.05" hidden="false" customHeight="false" outlineLevel="0" collapsed="false">
      <c r="A102" s="12" t="s">
        <v>390</v>
      </c>
      <c r="B102" s="12" t="s">
        <v>1220</v>
      </c>
      <c r="C102" s="12" t="s">
        <v>1040</v>
      </c>
      <c r="D102" s="12" t="s">
        <v>1221</v>
      </c>
      <c r="E102" s="12" t="s">
        <v>1222</v>
      </c>
    </row>
    <row r="103" customFormat="false" ht="35.05" hidden="false" customHeight="false" outlineLevel="0" collapsed="false">
      <c r="A103" s="12" t="s">
        <v>390</v>
      </c>
      <c r="B103" s="12" t="s">
        <v>1220</v>
      </c>
      <c r="C103" s="12" t="s">
        <v>1040</v>
      </c>
      <c r="D103" s="12" t="s">
        <v>1223</v>
      </c>
      <c r="E103" s="12" t="s">
        <v>1224</v>
      </c>
    </row>
    <row r="104" customFormat="false" ht="35.05" hidden="false" customHeight="false" outlineLevel="0" collapsed="false">
      <c r="A104" s="12" t="s">
        <v>390</v>
      </c>
      <c r="B104" s="12" t="s">
        <v>1225</v>
      </c>
      <c r="C104" s="12" t="s">
        <v>38</v>
      </c>
      <c r="D104" s="12" t="s">
        <v>1226</v>
      </c>
      <c r="E104" s="12" t="s">
        <v>395</v>
      </c>
    </row>
    <row r="105" customFormat="false" ht="35.05" hidden="false" customHeight="false" outlineLevel="0" collapsed="false">
      <c r="A105" s="12" t="s">
        <v>390</v>
      </c>
      <c r="B105" s="12" t="s">
        <v>1225</v>
      </c>
      <c r="C105" s="12" t="s">
        <v>38</v>
      </c>
      <c r="D105" s="12" t="s">
        <v>1227</v>
      </c>
      <c r="E105" s="12" t="s">
        <v>1228</v>
      </c>
    </row>
    <row r="106" customFormat="false" ht="35.05" hidden="false" customHeight="false" outlineLevel="0" collapsed="false">
      <c r="A106" s="12" t="s">
        <v>390</v>
      </c>
      <c r="B106" s="12" t="s">
        <v>1225</v>
      </c>
      <c r="C106" s="12" t="s">
        <v>38</v>
      </c>
      <c r="D106" s="12" t="s">
        <v>1229</v>
      </c>
      <c r="E106" s="12" t="s">
        <v>1230</v>
      </c>
    </row>
    <row r="107" customFormat="false" ht="35.05" hidden="false" customHeight="false" outlineLevel="0" collapsed="false">
      <c r="A107" s="12" t="s">
        <v>317</v>
      </c>
      <c r="B107" s="12" t="s">
        <v>1231</v>
      </c>
      <c r="C107" s="12" t="s">
        <v>1040</v>
      </c>
      <c r="D107" s="12" t="s">
        <v>1232</v>
      </c>
      <c r="E107" s="12" t="s">
        <v>1233</v>
      </c>
    </row>
    <row r="108" customFormat="false" ht="35.05" hidden="false" customHeight="false" outlineLevel="0" collapsed="false">
      <c r="A108" s="12" t="s">
        <v>317</v>
      </c>
      <c r="B108" s="12" t="s">
        <v>1231</v>
      </c>
      <c r="C108" s="12" t="s">
        <v>1040</v>
      </c>
      <c r="D108" s="12" t="s">
        <v>1234</v>
      </c>
      <c r="E108" s="12" t="s">
        <v>1235</v>
      </c>
    </row>
    <row r="109" customFormat="false" ht="35.05" hidden="false" customHeight="false" outlineLevel="0" collapsed="false">
      <c r="A109" s="12" t="s">
        <v>317</v>
      </c>
      <c r="B109" s="12" t="s">
        <v>1231</v>
      </c>
      <c r="C109" s="12" t="s">
        <v>1040</v>
      </c>
      <c r="D109" s="12" t="s">
        <v>1236</v>
      </c>
      <c r="E109" s="12" t="s">
        <v>1237</v>
      </c>
    </row>
    <row r="110" customFormat="false" ht="35.05" hidden="false" customHeight="false" outlineLevel="0" collapsed="false">
      <c r="A110" s="12" t="s">
        <v>317</v>
      </c>
      <c r="B110" s="12" t="s">
        <v>1238</v>
      </c>
      <c r="C110" s="12" t="s">
        <v>1040</v>
      </c>
      <c r="D110" s="12" t="s">
        <v>1239</v>
      </c>
      <c r="E110" s="12" t="s">
        <v>1240</v>
      </c>
    </row>
    <row r="111" customFormat="false" ht="35.05" hidden="false" customHeight="false" outlineLevel="0" collapsed="false">
      <c r="A111" s="12" t="s">
        <v>317</v>
      </c>
      <c r="B111" s="12" t="s">
        <v>1238</v>
      </c>
      <c r="C111" s="12" t="s">
        <v>1040</v>
      </c>
      <c r="D111" s="12" t="s">
        <v>1241</v>
      </c>
      <c r="E111" s="12" t="s">
        <v>375</v>
      </c>
    </row>
    <row r="112" customFormat="false" ht="35.05" hidden="false" customHeight="false" outlineLevel="0" collapsed="false">
      <c r="A112" s="12" t="s">
        <v>317</v>
      </c>
      <c r="B112" s="12" t="s">
        <v>1238</v>
      </c>
      <c r="C112" s="12" t="s">
        <v>1040</v>
      </c>
      <c r="D112" s="12" t="s">
        <v>1242</v>
      </c>
      <c r="E112" s="12" t="s">
        <v>1243</v>
      </c>
    </row>
    <row r="113" customFormat="false" ht="35.05" hidden="false" customHeight="false" outlineLevel="0" collapsed="false">
      <c r="A113" s="12" t="s">
        <v>317</v>
      </c>
      <c r="B113" s="12" t="s">
        <v>1244</v>
      </c>
      <c r="C113" s="12" t="s">
        <v>1040</v>
      </c>
      <c r="D113" s="12" t="s">
        <v>1245</v>
      </c>
      <c r="E113" s="12" t="s">
        <v>1246</v>
      </c>
    </row>
    <row r="114" customFormat="false" ht="35.05" hidden="false" customHeight="false" outlineLevel="0" collapsed="false">
      <c r="A114" s="12" t="s">
        <v>317</v>
      </c>
      <c r="B114" s="12" t="s">
        <v>1244</v>
      </c>
      <c r="C114" s="12" t="s">
        <v>1040</v>
      </c>
      <c r="D114" s="12" t="s">
        <v>1247</v>
      </c>
      <c r="E114" s="12" t="s">
        <v>1248</v>
      </c>
    </row>
    <row r="115" customFormat="false" ht="35.05" hidden="false" customHeight="false" outlineLevel="0" collapsed="false">
      <c r="A115" s="12" t="s">
        <v>317</v>
      </c>
      <c r="B115" s="12" t="s">
        <v>1249</v>
      </c>
      <c r="C115" s="12" t="s">
        <v>38</v>
      </c>
      <c r="D115" s="12" t="s">
        <v>117</v>
      </c>
      <c r="E115" s="12" t="s">
        <v>593</v>
      </c>
    </row>
    <row r="116" customFormat="false" ht="35.05" hidden="false" customHeight="false" outlineLevel="0" collapsed="false">
      <c r="A116" s="12" t="s">
        <v>317</v>
      </c>
      <c r="B116" s="12" t="s">
        <v>1250</v>
      </c>
      <c r="C116" s="12" t="s">
        <v>1042</v>
      </c>
      <c r="D116" s="12" t="s">
        <v>1251</v>
      </c>
      <c r="E116" s="12" t="s">
        <v>1252</v>
      </c>
    </row>
    <row r="117" customFormat="false" ht="35.05" hidden="false" customHeight="false" outlineLevel="0" collapsed="false">
      <c r="A117" s="12" t="s">
        <v>317</v>
      </c>
      <c r="B117" s="12" t="s">
        <v>1250</v>
      </c>
      <c r="C117" s="12" t="s">
        <v>1042</v>
      </c>
      <c r="D117" s="12" t="s">
        <v>1253</v>
      </c>
      <c r="E117" s="12" t="s">
        <v>1254</v>
      </c>
    </row>
    <row r="118" customFormat="false" ht="35.05" hidden="false" customHeight="false" outlineLevel="0" collapsed="false">
      <c r="A118" s="12" t="s">
        <v>317</v>
      </c>
      <c r="B118" s="12" t="s">
        <v>1250</v>
      </c>
      <c r="C118" s="12" t="s">
        <v>1042</v>
      </c>
      <c r="D118" s="12" t="s">
        <v>1255</v>
      </c>
      <c r="E118" s="12" t="s">
        <v>1256</v>
      </c>
    </row>
    <row r="119" customFormat="false" ht="46.25" hidden="false" customHeight="false" outlineLevel="0" collapsed="false">
      <c r="A119" s="12" t="s">
        <v>317</v>
      </c>
      <c r="B119" s="12" t="s">
        <v>1257</v>
      </c>
      <c r="C119" s="12" t="s">
        <v>1040</v>
      </c>
      <c r="D119" s="12" t="s">
        <v>1258</v>
      </c>
      <c r="E119" s="12" t="s">
        <v>1259</v>
      </c>
    </row>
    <row r="120" customFormat="false" ht="35.05" hidden="false" customHeight="false" outlineLevel="0" collapsed="false">
      <c r="A120" s="12" t="s">
        <v>317</v>
      </c>
      <c r="B120" s="12" t="s">
        <v>1257</v>
      </c>
      <c r="C120" s="12" t="s">
        <v>1040</v>
      </c>
      <c r="D120" s="12" t="s">
        <v>1260</v>
      </c>
      <c r="E120" s="12" t="s">
        <v>1261</v>
      </c>
    </row>
    <row r="121" customFormat="false" ht="35.05" hidden="false" customHeight="false" outlineLevel="0" collapsed="false">
      <c r="A121" s="12" t="s">
        <v>382</v>
      </c>
      <c r="B121" s="12" t="s">
        <v>1262</v>
      </c>
      <c r="C121" s="12" t="s">
        <v>1040</v>
      </c>
      <c r="D121" s="12" t="s">
        <v>1263</v>
      </c>
      <c r="E121" s="12" t="s">
        <v>1264</v>
      </c>
    </row>
    <row r="122" customFormat="false" ht="35.05" hidden="false" customHeight="false" outlineLevel="0" collapsed="false">
      <c r="A122" s="12" t="s">
        <v>382</v>
      </c>
      <c r="B122" s="12" t="s">
        <v>1262</v>
      </c>
      <c r="C122" s="12" t="s">
        <v>1040</v>
      </c>
      <c r="D122" s="12" t="s">
        <v>1265</v>
      </c>
      <c r="E122" s="12" t="s">
        <v>1266</v>
      </c>
    </row>
    <row r="123" customFormat="false" ht="35.05" hidden="false" customHeight="false" outlineLevel="0" collapsed="false">
      <c r="A123" s="12" t="s">
        <v>382</v>
      </c>
      <c r="B123" s="12" t="s">
        <v>1267</v>
      </c>
      <c r="C123" s="12" t="s">
        <v>38</v>
      </c>
      <c r="D123" s="12" t="s">
        <v>1268</v>
      </c>
      <c r="E123" s="12" t="s">
        <v>1269</v>
      </c>
    </row>
    <row r="124" customFormat="false" ht="35.05" hidden="false" customHeight="false" outlineLevel="0" collapsed="false">
      <c r="A124" s="12" t="s">
        <v>382</v>
      </c>
      <c r="B124" s="12" t="s">
        <v>1270</v>
      </c>
      <c r="C124" s="12" t="s">
        <v>1040</v>
      </c>
      <c r="D124" s="12" t="s">
        <v>1271</v>
      </c>
      <c r="E124" s="12" t="s">
        <v>1272</v>
      </c>
    </row>
    <row r="125" customFormat="false" ht="35.05" hidden="false" customHeight="false" outlineLevel="0" collapsed="false">
      <c r="A125" s="12" t="s">
        <v>382</v>
      </c>
      <c r="B125" s="12" t="s">
        <v>1270</v>
      </c>
      <c r="C125" s="12" t="s">
        <v>1040</v>
      </c>
      <c r="D125" s="12" t="s">
        <v>1273</v>
      </c>
      <c r="E125" s="12" t="s">
        <v>1274</v>
      </c>
    </row>
    <row r="126" customFormat="false" ht="35.05" hidden="false" customHeight="false" outlineLevel="0" collapsed="false">
      <c r="A126" s="12" t="s">
        <v>382</v>
      </c>
      <c r="B126" s="12" t="s">
        <v>1275</v>
      </c>
      <c r="C126" s="12" t="s">
        <v>1040</v>
      </c>
      <c r="D126" s="12" t="s">
        <v>1276</v>
      </c>
      <c r="E126" s="12" t="s">
        <v>1277</v>
      </c>
    </row>
    <row r="127" customFormat="false" ht="35.05" hidden="false" customHeight="false" outlineLevel="0" collapsed="false">
      <c r="A127" s="12" t="s">
        <v>382</v>
      </c>
      <c r="B127" s="12" t="s">
        <v>1275</v>
      </c>
      <c r="C127" s="12" t="s">
        <v>1040</v>
      </c>
      <c r="D127" s="12" t="s">
        <v>1278</v>
      </c>
      <c r="E127" s="12" t="s">
        <v>1279</v>
      </c>
    </row>
    <row r="128" customFormat="false" ht="35.05" hidden="false" customHeight="false" outlineLevel="0" collapsed="false">
      <c r="A128" s="12" t="s">
        <v>382</v>
      </c>
      <c r="B128" s="12" t="s">
        <v>1275</v>
      </c>
      <c r="C128" s="12" t="s">
        <v>1040</v>
      </c>
      <c r="D128" s="12" t="s">
        <v>169</v>
      </c>
      <c r="E128" s="12" t="s">
        <v>1280</v>
      </c>
    </row>
    <row r="129" customFormat="false" ht="35.05" hidden="false" customHeight="false" outlineLevel="0" collapsed="false">
      <c r="A129" s="12" t="s">
        <v>382</v>
      </c>
      <c r="B129" s="12" t="s">
        <v>1281</v>
      </c>
      <c r="C129" s="12" t="s">
        <v>1040</v>
      </c>
      <c r="D129" s="12" t="s">
        <v>1241</v>
      </c>
      <c r="E129" s="12" t="s">
        <v>375</v>
      </c>
    </row>
    <row r="130" customFormat="false" ht="35.05" hidden="false" customHeight="false" outlineLevel="0" collapsed="false">
      <c r="A130" s="12" t="s">
        <v>382</v>
      </c>
      <c r="B130" s="12" t="s">
        <v>1281</v>
      </c>
      <c r="C130" s="12" t="s">
        <v>1040</v>
      </c>
      <c r="D130" s="12" t="s">
        <v>1282</v>
      </c>
      <c r="E130" s="12" t="s">
        <v>384</v>
      </c>
    </row>
    <row r="131" customFormat="false" ht="35.05" hidden="false" customHeight="false" outlineLevel="0" collapsed="false">
      <c r="A131" s="12" t="s">
        <v>382</v>
      </c>
      <c r="B131" s="12" t="s">
        <v>1281</v>
      </c>
      <c r="C131" s="12" t="s">
        <v>1040</v>
      </c>
      <c r="D131" s="12" t="s">
        <v>1283</v>
      </c>
      <c r="E131" s="12" t="s">
        <v>1284</v>
      </c>
    </row>
  </sheetData>
  <conditionalFormatting sqref="C13:C131">
    <cfRule type="expression" priority="2" aboveAverage="0" equalAverage="0" bottom="0" percent="0" rank="0" text="" dxfId="6">
      <formula>LEFT(C13,5)="FIXED"</formula>
    </cfRule>
    <cfRule type="expression" priority="3" aboveAverage="0" equalAverage="0" bottom="0" percent="0" rank="0" text="" dxfId="6">
      <formula>LEFT(C13,4)="PASS"</formula>
    </cfRule>
    <cfRule type="expression" priority="4" aboveAverage="0" equalAverage="0" bottom="0" percent="0" rank="0" text="" dxfId="6">
      <formula>LEFT(C13,3)="MET"</formula>
    </cfRule>
    <cfRule type="expression" priority="5" aboveAverage="0" equalAverage="0" bottom="0" percent="0" rank="0" text="" dxfId="6">
      <formula>LEFT(C13,7)="DECIDED"</formula>
    </cfRule>
    <cfRule type="expression" priority="6" aboveAverage="0" equalAverage="0" bottom="0" percent="0" rank="0" text="" dxfId="6">
      <formula>LEFT(C13,8)="RATIFIED"</formula>
    </cfRule>
    <cfRule type="expression" priority="7" aboveAverage="0" equalAverage="0" bottom="0" percent="0" rank="0" text="" dxfId="6">
      <formula>LEFT(C13,5)="Fixed"</formula>
    </cfRule>
    <cfRule type="expression" priority="8" aboveAverage="0" equalAverage="0" bottom="0" percent="0" rank="0" text="" dxfId="7">
      <formula>LEFT(C13,7)="PARTIAL"</formula>
    </cfRule>
    <cfRule type="expression" priority="9" aboveAverage="0" equalAverage="0" bottom="0" percent="0" rank="0" text="" dxfId="7">
      <formula>LEFT(C13,7)="CHANGED"</formula>
    </cfRule>
    <cfRule type="expression" priority="10" aboveAverage="0" equalAverage="0" bottom="0" percent="0" rank="0" text="" dxfId="7">
      <formula>LEFT(C13,13)="FIXED-IN-TREE"</formula>
    </cfRule>
    <cfRule type="expression" priority="11" aboveAverage="0" equalAverage="0" bottom="0" percent="0" rank="0" text="" dxfId="7">
      <formula>LEFT(C13,7)="Partial"</formula>
    </cfRule>
    <cfRule type="expression" priority="12" aboveAverage="0" equalAverage="0" bottom="0" percent="0" rank="0" text="" dxfId="7">
      <formula>LEFT(C13,7)="Changed"</formula>
    </cfRule>
    <cfRule type="expression" priority="13" aboveAverage="0" equalAverage="0" bottom="0" percent="0" rank="0" text="" dxfId="7">
      <formula>LEFT(C13,17)="ACCEPTED-PROPOSED"</formula>
    </cfRule>
    <cfRule type="expression" priority="14" aboveAverage="0" equalAverage="0" bottom="0" percent="0" rank="0" text="" dxfId="8">
      <formula>LEFT(C13,4)="FAIL"</formula>
    </cfRule>
    <cfRule type="expression" priority="15" aboveAverage="0" equalAverage="0" bottom="0" percent="0" rank="0" text="" dxfId="8">
      <formula>LEFT(C13,7)="NOT MET"</formula>
    </cfRule>
    <cfRule type="expression" priority="16" aboveAverage="0" equalAverage="0" bottom="0" percent="0" rank="0" text="" dxfId="8">
      <formula>LEFT(C13,7)="BLOCKED"</formula>
    </cfRule>
    <cfRule type="expression" priority="17" aboveAverage="0" equalAverage="0" bottom="0" percent="0" rank="0" text="" dxfId="8">
      <formula>LEFT(C13,9)="Not built"</formula>
    </cfRule>
    <cfRule type="expression" priority="18" aboveAverage="0" equalAverage="0" bottom="0" percent="0" rank="0" text="" dxfId="8">
      <formula>LEFT(C13,8)="Deferred"</formula>
    </cfRule>
    <cfRule type="expression" priority="19" aboveAverage="0" equalAverage="0" bottom="0" percent="0" rank="0" text="" dxfId="8">
      <formula>LEFT(C13,8)="DEFERRED"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64"/>
  </cols>
  <sheetData>
    <row r="1" customFormat="false" ht="17.35" hidden="false" customHeight="false" outlineLevel="0" collapsed="false">
      <c r="A1" s="10" t="s">
        <v>1285</v>
      </c>
    </row>
    <row r="2" customFormat="false" ht="15" hidden="false" customHeight="false" outlineLevel="0" collapsed="false">
      <c r="A2" s="5" t="s">
        <v>1286</v>
      </c>
    </row>
    <row r="3" customFormat="false" ht="30" hidden="false" customHeight="true" outlineLevel="0" collapsed="false">
      <c r="A3" s="11" t="s">
        <v>1287</v>
      </c>
      <c r="B3" s="11" t="s">
        <v>1037</v>
      </c>
      <c r="C3" s="11" t="s">
        <v>1288</v>
      </c>
      <c r="D3" s="11" t="s">
        <v>1289</v>
      </c>
      <c r="E3" s="11" t="s">
        <v>1290</v>
      </c>
    </row>
    <row r="4" customFormat="false" ht="15" hidden="false" customHeight="false" outlineLevel="0" collapsed="false">
      <c r="A4" s="12" t="s">
        <v>1291</v>
      </c>
      <c r="B4" s="12" t="s">
        <v>1292</v>
      </c>
      <c r="C4" s="12" t="s">
        <v>998</v>
      </c>
      <c r="D4" s="12" t="s">
        <v>1293</v>
      </c>
      <c r="E4" s="12" t="s">
        <v>1294</v>
      </c>
    </row>
    <row r="5" customFormat="false" ht="15" hidden="false" customHeight="false" outlineLevel="0" collapsed="false">
      <c r="A5" s="12" t="s">
        <v>1295</v>
      </c>
      <c r="B5" s="12" t="s">
        <v>1296</v>
      </c>
      <c r="C5" s="12" t="s">
        <v>998</v>
      </c>
      <c r="D5" s="12" t="s">
        <v>1297</v>
      </c>
      <c r="E5" s="12" t="s">
        <v>1298</v>
      </c>
    </row>
    <row r="6" customFormat="false" ht="15" hidden="false" customHeight="false" outlineLevel="0" collapsed="false">
      <c r="A6" s="12" t="s">
        <v>1299</v>
      </c>
      <c r="B6" s="12" t="s">
        <v>1300</v>
      </c>
      <c r="C6" s="12" t="s">
        <v>998</v>
      </c>
      <c r="D6" s="12" t="s">
        <v>1293</v>
      </c>
      <c r="E6" s="12" t="s">
        <v>1301</v>
      </c>
    </row>
    <row r="7" customFormat="false" ht="15" hidden="false" customHeight="false" outlineLevel="0" collapsed="false">
      <c r="A7" s="12" t="s">
        <v>1302</v>
      </c>
      <c r="B7" s="12" t="s">
        <v>1303</v>
      </c>
      <c r="C7" s="12" t="s">
        <v>998</v>
      </c>
      <c r="D7" s="12" t="s">
        <v>1293</v>
      </c>
      <c r="E7" s="12" t="s">
        <v>1304</v>
      </c>
    </row>
    <row r="8" customFormat="false" ht="15" hidden="false" customHeight="false" outlineLevel="0" collapsed="false">
      <c r="A8" s="12" t="s">
        <v>1305</v>
      </c>
      <c r="B8" s="12" t="s">
        <v>1306</v>
      </c>
      <c r="C8" s="12" t="s">
        <v>998</v>
      </c>
      <c r="D8" s="12" t="s">
        <v>1307</v>
      </c>
      <c r="E8" s="12" t="s">
        <v>1308</v>
      </c>
    </row>
    <row r="9" customFormat="false" ht="15" hidden="false" customHeight="false" outlineLevel="0" collapsed="false">
      <c r="A9" s="12" t="s">
        <v>1309</v>
      </c>
      <c r="B9" s="12" t="s">
        <v>1310</v>
      </c>
      <c r="C9" s="12" t="s">
        <v>998</v>
      </c>
      <c r="D9" s="12" t="s">
        <v>1311</v>
      </c>
      <c r="E9" s="12" t="s">
        <v>1312</v>
      </c>
    </row>
    <row r="10" customFormat="false" ht="15" hidden="false" customHeight="false" outlineLevel="0" collapsed="false">
      <c r="A10" s="12" t="s">
        <v>1313</v>
      </c>
      <c r="B10" s="12" t="s">
        <v>1314</v>
      </c>
      <c r="C10" s="12" t="s">
        <v>998</v>
      </c>
      <c r="D10" s="12" t="s">
        <v>38</v>
      </c>
      <c r="E10" s="12" t="s">
        <v>1315</v>
      </c>
    </row>
    <row r="11" customFormat="false" ht="15" hidden="false" customHeight="false" outlineLevel="0" collapsed="false">
      <c r="A11" s="12" t="s">
        <v>1316</v>
      </c>
      <c r="B11" s="12" t="s">
        <v>1317</v>
      </c>
      <c r="C11" s="12" t="s">
        <v>998</v>
      </c>
      <c r="D11" s="12" t="s">
        <v>1318</v>
      </c>
      <c r="E11" s="12" t="s">
        <v>1319</v>
      </c>
    </row>
    <row r="12" customFormat="false" ht="23.85" hidden="false" customHeight="false" outlineLevel="0" collapsed="false">
      <c r="A12" s="12" t="s">
        <v>1320</v>
      </c>
      <c r="B12" s="12" t="s">
        <v>1321</v>
      </c>
      <c r="C12" s="12" t="s">
        <v>998</v>
      </c>
      <c r="D12" s="12" t="s">
        <v>1318</v>
      </c>
      <c r="E12" s="12" t="s">
        <v>1322</v>
      </c>
    </row>
    <row r="13" customFormat="false" ht="15" hidden="false" customHeight="false" outlineLevel="0" collapsed="false">
      <c r="A13" s="12" t="s">
        <v>1323</v>
      </c>
      <c r="B13" s="12" t="s">
        <v>1324</v>
      </c>
      <c r="C13" s="12" t="s">
        <v>1325</v>
      </c>
      <c r="D13" s="12" t="s">
        <v>1318</v>
      </c>
      <c r="E13" s="12" t="s">
        <v>1326</v>
      </c>
    </row>
    <row r="14" customFormat="false" ht="15" hidden="false" customHeight="false" outlineLevel="0" collapsed="false">
      <c r="A14" s="12" t="s">
        <v>1327</v>
      </c>
      <c r="B14" s="12" t="s">
        <v>1328</v>
      </c>
      <c r="C14" s="12" t="s">
        <v>998</v>
      </c>
      <c r="D14" s="12" t="s">
        <v>1318</v>
      </c>
      <c r="E14" s="12" t="s">
        <v>1329</v>
      </c>
    </row>
    <row r="15" customFormat="false" ht="15" hidden="false" customHeight="false" outlineLevel="0" collapsed="false">
      <c r="A15" s="12" t="s">
        <v>1330</v>
      </c>
      <c r="B15" s="12" t="s">
        <v>1331</v>
      </c>
      <c r="C15" s="12" t="s">
        <v>1332</v>
      </c>
      <c r="D15" s="12" t="s">
        <v>1318</v>
      </c>
      <c r="E15" s="12" t="s">
        <v>1333</v>
      </c>
    </row>
  </sheetData>
  <autoFilter ref="A3:E15"/>
  <conditionalFormatting sqref="D4:D15">
    <cfRule type="expression" priority="2" aboveAverage="0" equalAverage="0" bottom="0" percent="0" rank="0" text="" dxfId="6">
      <formula>LEFT(D4,5)="FIXED"</formula>
    </cfRule>
    <cfRule type="expression" priority="3" aboveAverage="0" equalAverage="0" bottom="0" percent="0" rank="0" text="" dxfId="6">
      <formula>LEFT(D4,4)="PASS"</formula>
    </cfRule>
    <cfRule type="expression" priority="4" aboveAverage="0" equalAverage="0" bottom="0" percent="0" rank="0" text="" dxfId="6">
      <formula>LEFT(D4,3)="MET"</formula>
    </cfRule>
    <cfRule type="expression" priority="5" aboveAverage="0" equalAverage="0" bottom="0" percent="0" rank="0" text="" dxfId="6">
      <formula>LEFT(D4,7)="DECIDED"</formula>
    </cfRule>
    <cfRule type="expression" priority="6" aboveAverage="0" equalAverage="0" bottom="0" percent="0" rank="0" text="" dxfId="6">
      <formula>LEFT(D4,8)="RATIFIED"</formula>
    </cfRule>
    <cfRule type="expression" priority="7" aboveAverage="0" equalAverage="0" bottom="0" percent="0" rank="0" text="" dxfId="6">
      <formula>LEFT(D4,5)="Fixed"</formula>
    </cfRule>
    <cfRule type="expression" priority="8" aboveAverage="0" equalAverage="0" bottom="0" percent="0" rank="0" text="" dxfId="7">
      <formula>LEFT(D4,7)="PARTIAL"</formula>
    </cfRule>
    <cfRule type="expression" priority="9" aboveAverage="0" equalAverage="0" bottom="0" percent="0" rank="0" text="" dxfId="7">
      <formula>LEFT(D4,7)="CHANGED"</formula>
    </cfRule>
    <cfRule type="expression" priority="10" aboveAverage="0" equalAverage="0" bottom="0" percent="0" rank="0" text="" dxfId="7">
      <formula>LEFT(D4,13)="FIXED-IN-TREE"</formula>
    </cfRule>
    <cfRule type="expression" priority="11" aboveAverage="0" equalAverage="0" bottom="0" percent="0" rank="0" text="" dxfId="7">
      <formula>LEFT(D4,7)="Partial"</formula>
    </cfRule>
    <cfRule type="expression" priority="12" aboveAverage="0" equalAverage="0" bottom="0" percent="0" rank="0" text="" dxfId="7">
      <formula>LEFT(D4,7)="Changed"</formula>
    </cfRule>
    <cfRule type="expression" priority="13" aboveAverage="0" equalAverage="0" bottom="0" percent="0" rank="0" text="" dxfId="7">
      <formula>LEFT(D4,17)="ACCEPTED-PROPOSED"</formula>
    </cfRule>
    <cfRule type="expression" priority="14" aboveAverage="0" equalAverage="0" bottom="0" percent="0" rank="0" text="" dxfId="8">
      <formula>LEFT(D4,4)="FAIL"</formula>
    </cfRule>
    <cfRule type="expression" priority="15" aboveAverage="0" equalAverage="0" bottom="0" percent="0" rank="0" text="" dxfId="8">
      <formula>LEFT(D4,7)="NOT MET"</formula>
    </cfRule>
    <cfRule type="expression" priority="16" aboveAverage="0" equalAverage="0" bottom="0" percent="0" rank="0" text="" dxfId="8">
      <formula>LEFT(D4,7)="BLOCKED"</formula>
    </cfRule>
    <cfRule type="expression" priority="17" aboveAverage="0" equalAverage="0" bottom="0" percent="0" rank="0" text="" dxfId="8">
      <formula>LEFT(D4,9)="Not built"</formula>
    </cfRule>
    <cfRule type="expression" priority="18" aboveAverage="0" equalAverage="0" bottom="0" percent="0" rank="0" text="" dxfId="8">
      <formula>LEFT(D4,8)="Deferred"</formula>
    </cfRule>
    <cfRule type="expression" priority="19" aboveAverage="0" equalAverage="0" bottom="0" percent="0" rank="0" text="" dxfId="8">
      <formula>LEFT(D4,8)="DEFERRED"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62"/>
  </cols>
  <sheetData>
    <row r="1" customFormat="false" ht="17.35" hidden="false" customHeight="false" outlineLevel="0" collapsed="false">
      <c r="A1" s="10" t="s">
        <v>1334</v>
      </c>
    </row>
    <row r="2" customFormat="false" ht="15" hidden="false" customHeight="false" outlineLevel="0" collapsed="false">
      <c r="A2" s="5" t="s">
        <v>1335</v>
      </c>
    </row>
    <row r="3" customFormat="false" ht="30" hidden="false" customHeight="true" outlineLevel="0" collapsed="false">
      <c r="A3" s="11" t="s">
        <v>1336</v>
      </c>
      <c r="B3" s="11" t="s">
        <v>1337</v>
      </c>
      <c r="C3" s="11" t="s">
        <v>61</v>
      </c>
      <c r="D3" s="11" t="s">
        <v>1338</v>
      </c>
      <c r="E3" s="11" t="s">
        <v>1339</v>
      </c>
    </row>
    <row r="4" customFormat="false" ht="23.85" hidden="false" customHeight="false" outlineLevel="0" collapsed="false">
      <c r="A4" s="12" t="s">
        <v>1340</v>
      </c>
      <c r="B4" s="12" t="s">
        <v>1341</v>
      </c>
      <c r="C4" s="12" t="s">
        <v>1342</v>
      </c>
      <c r="D4" s="12" t="s">
        <v>1343</v>
      </c>
      <c r="E4" s="12" t="s">
        <v>1344</v>
      </c>
    </row>
    <row r="5" customFormat="false" ht="35.05" hidden="false" customHeight="false" outlineLevel="0" collapsed="false">
      <c r="A5" s="12" t="s">
        <v>1345</v>
      </c>
      <c r="B5" s="12" t="s">
        <v>1346</v>
      </c>
      <c r="C5" s="12" t="s">
        <v>1342</v>
      </c>
      <c r="D5" s="12" t="s">
        <v>1347</v>
      </c>
      <c r="E5" s="12" t="s">
        <v>1348</v>
      </c>
    </row>
    <row r="6" customFormat="false" ht="15" hidden="false" customHeight="false" outlineLevel="0" collapsed="false">
      <c r="A6" s="12" t="s">
        <v>1349</v>
      </c>
      <c r="B6" s="12" t="s">
        <v>1350</v>
      </c>
      <c r="C6" s="12" t="s">
        <v>1342</v>
      </c>
      <c r="D6" s="12" t="s">
        <v>1351</v>
      </c>
      <c r="E6" s="12" t="s">
        <v>1352</v>
      </c>
    </row>
    <row r="7" customFormat="false" ht="23.85" hidden="false" customHeight="false" outlineLevel="0" collapsed="false">
      <c r="A7" s="12" t="s">
        <v>1353</v>
      </c>
      <c r="B7" s="12" t="s">
        <v>1354</v>
      </c>
      <c r="C7" s="12" t="s">
        <v>1342</v>
      </c>
      <c r="D7" s="12" t="s">
        <v>1355</v>
      </c>
      <c r="E7" s="12" t="s">
        <v>1356</v>
      </c>
    </row>
    <row r="8" customFormat="false" ht="35.05" hidden="false" customHeight="false" outlineLevel="0" collapsed="false">
      <c r="A8" s="12" t="s">
        <v>1357</v>
      </c>
      <c r="B8" s="12" t="s">
        <v>1358</v>
      </c>
      <c r="C8" s="12" t="s">
        <v>1342</v>
      </c>
      <c r="D8" s="12" t="s">
        <v>1359</v>
      </c>
      <c r="E8" s="12" t="s">
        <v>1360</v>
      </c>
    </row>
    <row r="9" customFormat="false" ht="23.85" hidden="false" customHeight="false" outlineLevel="0" collapsed="false">
      <c r="A9" s="12" t="s">
        <v>1361</v>
      </c>
      <c r="B9" s="12" t="s">
        <v>1362</v>
      </c>
      <c r="C9" s="12" t="s">
        <v>1363</v>
      </c>
      <c r="D9" s="12" t="s">
        <v>1364</v>
      </c>
      <c r="E9" s="12" t="s">
        <v>1365</v>
      </c>
    </row>
    <row r="10" customFormat="false" ht="23.85" hidden="false" customHeight="false" outlineLevel="0" collapsed="false">
      <c r="A10" s="12" t="s">
        <v>1366</v>
      </c>
      <c r="B10" s="12" t="s">
        <v>1367</v>
      </c>
      <c r="C10" s="12" t="s">
        <v>40</v>
      </c>
      <c r="D10" s="12" t="s">
        <v>1368</v>
      </c>
      <c r="E10" s="12" t="s">
        <v>1369</v>
      </c>
    </row>
    <row r="11" customFormat="false" ht="23.85" hidden="false" customHeight="false" outlineLevel="0" collapsed="false">
      <c r="A11" s="12" t="s">
        <v>1370</v>
      </c>
      <c r="B11" s="12" t="s">
        <v>1371</v>
      </c>
      <c r="C11" s="12" t="s">
        <v>1363</v>
      </c>
      <c r="D11" s="12" t="s">
        <v>1372</v>
      </c>
      <c r="E11" s="12" t="s">
        <v>1373</v>
      </c>
    </row>
    <row r="12" customFormat="false" ht="23.85" hidden="false" customHeight="false" outlineLevel="0" collapsed="false">
      <c r="A12" s="12" t="s">
        <v>1374</v>
      </c>
      <c r="B12" s="12" t="s">
        <v>1375</v>
      </c>
      <c r="C12" s="12" t="s">
        <v>1342</v>
      </c>
      <c r="D12" s="12" t="s">
        <v>1376</v>
      </c>
      <c r="E12" s="12" t="s">
        <v>1377</v>
      </c>
    </row>
    <row r="13" customFormat="false" ht="23.85" hidden="false" customHeight="false" outlineLevel="0" collapsed="false">
      <c r="A13" s="12" t="s">
        <v>1378</v>
      </c>
      <c r="B13" s="12" t="s">
        <v>1379</v>
      </c>
      <c r="C13" s="12" t="s">
        <v>1363</v>
      </c>
      <c r="D13" s="12" t="s">
        <v>1380</v>
      </c>
      <c r="E13" s="12" t="s">
        <v>1381</v>
      </c>
    </row>
    <row r="14" customFormat="false" ht="23.85" hidden="false" customHeight="false" outlineLevel="0" collapsed="false">
      <c r="A14" s="12" t="s">
        <v>1382</v>
      </c>
      <c r="B14" s="12" t="s">
        <v>1383</v>
      </c>
      <c r="C14" s="12" t="s">
        <v>1363</v>
      </c>
      <c r="D14" s="12" t="s">
        <v>1384</v>
      </c>
      <c r="E14" s="12" t="s">
        <v>1385</v>
      </c>
    </row>
    <row r="15" customFormat="false" ht="23.85" hidden="false" customHeight="false" outlineLevel="0" collapsed="false">
      <c r="A15" s="12" t="s">
        <v>1386</v>
      </c>
      <c r="B15" s="12" t="s">
        <v>1387</v>
      </c>
      <c r="C15" s="12" t="s">
        <v>1342</v>
      </c>
      <c r="D15" s="12" t="s">
        <v>1388</v>
      </c>
      <c r="E15" s="12" t="s">
        <v>1389</v>
      </c>
    </row>
    <row r="16" customFormat="false" ht="15" hidden="false" customHeight="false" outlineLevel="0" collapsed="false">
      <c r="A16" s="12" t="s">
        <v>1390</v>
      </c>
      <c r="B16" s="12" t="s">
        <v>1391</v>
      </c>
      <c r="C16" s="12" t="s">
        <v>1363</v>
      </c>
      <c r="D16" s="12" t="s">
        <v>1392</v>
      </c>
      <c r="E16" s="12" t="s">
        <v>1393</v>
      </c>
    </row>
    <row r="17" customFormat="false" ht="15" hidden="false" customHeight="false" outlineLevel="0" collapsed="false">
      <c r="A17" s="12" t="s">
        <v>1394</v>
      </c>
      <c r="B17" s="12" t="s">
        <v>1395</v>
      </c>
      <c r="C17" s="12" t="s">
        <v>1363</v>
      </c>
      <c r="D17" s="12" t="s">
        <v>1396</v>
      </c>
      <c r="E17" s="12" t="s">
        <v>1397</v>
      </c>
    </row>
    <row r="18" customFormat="false" ht="23.85" hidden="false" customHeight="false" outlineLevel="0" collapsed="false">
      <c r="A18" s="12" t="s">
        <v>1398</v>
      </c>
      <c r="B18" s="12" t="s">
        <v>1399</v>
      </c>
      <c r="C18" s="12" t="s">
        <v>1342</v>
      </c>
      <c r="D18" s="12" t="s">
        <v>1400</v>
      </c>
      <c r="E18" s="12" t="s">
        <v>1401</v>
      </c>
    </row>
    <row r="19" customFormat="false" ht="15" hidden="false" customHeight="false" outlineLevel="0" collapsed="false">
      <c r="A19" s="12" t="s">
        <v>1402</v>
      </c>
      <c r="B19" s="12" t="s">
        <v>1403</v>
      </c>
      <c r="C19" s="12" t="s">
        <v>1342</v>
      </c>
      <c r="D19" s="12" t="s">
        <v>1404</v>
      </c>
      <c r="E19" s="12" t="s">
        <v>1405</v>
      </c>
    </row>
    <row r="20" customFormat="false" ht="23.85" hidden="false" customHeight="false" outlineLevel="0" collapsed="false">
      <c r="A20" s="12" t="s">
        <v>1406</v>
      </c>
      <c r="B20" s="12" t="s">
        <v>1407</v>
      </c>
      <c r="C20" s="12" t="s">
        <v>1342</v>
      </c>
      <c r="D20" s="12" t="s">
        <v>1408</v>
      </c>
      <c r="E20" s="12" t="s">
        <v>1409</v>
      </c>
    </row>
    <row r="21" customFormat="false" ht="23.85" hidden="false" customHeight="false" outlineLevel="0" collapsed="false">
      <c r="A21" s="12" t="s">
        <v>1410</v>
      </c>
      <c r="B21" s="12" t="s">
        <v>1411</v>
      </c>
      <c r="C21" s="12" t="s">
        <v>1342</v>
      </c>
      <c r="D21" s="12" t="s">
        <v>1412</v>
      </c>
      <c r="E21" s="12" t="s">
        <v>1413</v>
      </c>
    </row>
    <row r="22" customFormat="false" ht="35.05" hidden="false" customHeight="false" outlineLevel="0" collapsed="false">
      <c r="A22" s="12" t="s">
        <v>1414</v>
      </c>
      <c r="B22" s="12" t="s">
        <v>1415</v>
      </c>
      <c r="C22" s="12" t="s">
        <v>1342</v>
      </c>
      <c r="D22" s="12" t="s">
        <v>1416</v>
      </c>
      <c r="E22" s="12" t="s">
        <v>1417</v>
      </c>
    </row>
    <row r="23" customFormat="false" ht="23.85" hidden="false" customHeight="false" outlineLevel="0" collapsed="false">
      <c r="A23" s="12" t="s">
        <v>1418</v>
      </c>
      <c r="B23" s="12" t="s">
        <v>1419</v>
      </c>
      <c r="C23" s="12" t="s">
        <v>1342</v>
      </c>
      <c r="D23" s="12" t="s">
        <v>1420</v>
      </c>
      <c r="E23" s="12" t="s">
        <v>1421</v>
      </c>
    </row>
    <row r="24" customFormat="false" ht="23.85" hidden="false" customHeight="false" outlineLevel="0" collapsed="false">
      <c r="A24" s="12" t="s">
        <v>1422</v>
      </c>
      <c r="B24" s="12" t="s">
        <v>1423</v>
      </c>
      <c r="C24" s="12" t="s">
        <v>1342</v>
      </c>
      <c r="D24" s="12" t="s">
        <v>1424</v>
      </c>
      <c r="E24" s="12" t="s">
        <v>1425</v>
      </c>
    </row>
    <row r="25" customFormat="false" ht="15" hidden="false" customHeight="false" outlineLevel="0" collapsed="false">
      <c r="A25" s="12" t="s">
        <v>1426</v>
      </c>
      <c r="B25" s="12" t="s">
        <v>1427</v>
      </c>
      <c r="C25" s="12" t="s">
        <v>1363</v>
      </c>
      <c r="D25" s="12" t="s">
        <v>1428</v>
      </c>
      <c r="E25" s="12" t="s">
        <v>1429</v>
      </c>
    </row>
    <row r="26" customFormat="false" ht="15" hidden="false" customHeight="false" outlineLevel="0" collapsed="false">
      <c r="A26" s="12" t="s">
        <v>1430</v>
      </c>
      <c r="B26" s="12" t="s">
        <v>1431</v>
      </c>
      <c r="C26" s="12" t="s">
        <v>1342</v>
      </c>
      <c r="D26" s="12" t="s">
        <v>1432</v>
      </c>
      <c r="E26" s="12" t="s">
        <v>1433</v>
      </c>
    </row>
  </sheetData>
  <autoFilter ref="A3:E26"/>
  <conditionalFormatting sqref="C4:C26">
    <cfRule type="expression" priority="2" aboveAverage="0" equalAverage="0" bottom="0" percent="0" rank="0" text="" dxfId="6">
      <formula>LEFT(C4,5)="FIXED"</formula>
    </cfRule>
    <cfRule type="expression" priority="3" aboveAverage="0" equalAverage="0" bottom="0" percent="0" rank="0" text="" dxfId="6">
      <formula>LEFT(C4,4)="PASS"</formula>
    </cfRule>
    <cfRule type="expression" priority="4" aboveAverage="0" equalAverage="0" bottom="0" percent="0" rank="0" text="" dxfId="6">
      <formula>LEFT(C4,3)="MET"</formula>
    </cfRule>
    <cfRule type="expression" priority="5" aboveAverage="0" equalAverage="0" bottom="0" percent="0" rank="0" text="" dxfId="6">
      <formula>LEFT(C4,7)="DECIDED"</formula>
    </cfRule>
    <cfRule type="expression" priority="6" aboveAverage="0" equalAverage="0" bottom="0" percent="0" rank="0" text="" dxfId="6">
      <formula>LEFT(C4,8)="RATIFIED"</formula>
    </cfRule>
    <cfRule type="expression" priority="7" aboveAverage="0" equalAverage="0" bottom="0" percent="0" rank="0" text="" dxfId="6">
      <formula>LEFT(C4,5)="Fixed"</formula>
    </cfRule>
    <cfRule type="expression" priority="8" aboveAverage="0" equalAverage="0" bottom="0" percent="0" rank="0" text="" dxfId="7">
      <formula>LEFT(C4,7)="PARTIAL"</formula>
    </cfRule>
    <cfRule type="expression" priority="9" aboveAverage="0" equalAverage="0" bottom="0" percent="0" rank="0" text="" dxfId="7">
      <formula>LEFT(C4,7)="CHANGED"</formula>
    </cfRule>
    <cfRule type="expression" priority="10" aboveAverage="0" equalAverage="0" bottom="0" percent="0" rank="0" text="" dxfId="7">
      <formula>LEFT(C4,13)="FIXED-IN-TREE"</formula>
    </cfRule>
    <cfRule type="expression" priority="11" aboveAverage="0" equalAverage="0" bottom="0" percent="0" rank="0" text="" dxfId="7">
      <formula>LEFT(C4,7)="Partial"</formula>
    </cfRule>
    <cfRule type="expression" priority="12" aboveAverage="0" equalAverage="0" bottom="0" percent="0" rank="0" text="" dxfId="7">
      <formula>LEFT(C4,7)="Changed"</formula>
    </cfRule>
    <cfRule type="expression" priority="13" aboveAverage="0" equalAverage="0" bottom="0" percent="0" rank="0" text="" dxfId="7">
      <formula>LEFT(C4,17)="ACCEPTED-PROPOSED"</formula>
    </cfRule>
    <cfRule type="expression" priority="14" aboveAverage="0" equalAverage="0" bottom="0" percent="0" rank="0" text="" dxfId="8">
      <formula>LEFT(C4,4)="FAIL"</formula>
    </cfRule>
    <cfRule type="expression" priority="15" aboveAverage="0" equalAverage="0" bottom="0" percent="0" rank="0" text="" dxfId="8">
      <formula>LEFT(C4,7)="NOT MET"</formula>
    </cfRule>
    <cfRule type="expression" priority="16" aboveAverage="0" equalAverage="0" bottom="0" percent="0" rank="0" text="" dxfId="8">
      <formula>LEFT(C4,7)="BLOCKED"</formula>
    </cfRule>
    <cfRule type="expression" priority="17" aboveAverage="0" equalAverage="0" bottom="0" percent="0" rank="0" text="" dxfId="8">
      <formula>LEFT(C4,9)="Not built"</formula>
    </cfRule>
    <cfRule type="expression" priority="18" aboveAverage="0" equalAverage="0" bottom="0" percent="0" rank="0" text="" dxfId="8">
      <formula>LEFT(C4,8)="Deferred"</formula>
    </cfRule>
    <cfRule type="expression" priority="19" aboveAverage="0" equalAverage="0" bottom="0" percent="0" rank="0" text="" dxfId="8">
      <formula>LEFT(C4,8)="DEFERRED"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0" t="s">
        <v>1434</v>
      </c>
    </row>
    <row r="2" customFormat="false" ht="15" hidden="false" customHeight="false" outlineLevel="0" collapsed="false">
      <c r="A2" s="5" t="s">
        <v>1435</v>
      </c>
    </row>
    <row r="3" customFormat="false" ht="30" hidden="false" customHeight="true" outlineLevel="0" collapsed="false">
      <c r="A3" s="11" t="s">
        <v>1436</v>
      </c>
      <c r="B3" s="11" t="s">
        <v>1437</v>
      </c>
      <c r="C3" s="11" t="s">
        <v>1438</v>
      </c>
      <c r="D3" s="11" t="s">
        <v>736</v>
      </c>
      <c r="E3" s="11" t="s">
        <v>1439</v>
      </c>
    </row>
    <row r="4" customFormat="false" ht="23.85" hidden="false" customHeight="false" outlineLevel="0" collapsed="false">
      <c r="A4" s="12" t="s">
        <v>1440</v>
      </c>
      <c r="B4" s="12" t="s">
        <v>1441</v>
      </c>
      <c r="C4" s="12" t="s">
        <v>1442</v>
      </c>
      <c r="D4" s="12" t="s">
        <v>1443</v>
      </c>
      <c r="E4" s="12" t="s">
        <v>1444</v>
      </c>
    </row>
    <row r="5" customFormat="false" ht="15" hidden="false" customHeight="false" outlineLevel="0" collapsed="false">
      <c r="A5" s="12" t="s">
        <v>1445</v>
      </c>
      <c r="B5" s="12" t="s">
        <v>1446</v>
      </c>
      <c r="C5" s="12" t="s">
        <v>1447</v>
      </c>
      <c r="D5" s="12" t="s">
        <v>1448</v>
      </c>
      <c r="E5" s="12" t="s">
        <v>1449</v>
      </c>
    </row>
    <row r="6" customFormat="false" ht="15" hidden="false" customHeight="false" outlineLevel="0" collapsed="false">
      <c r="A6" s="12" t="s">
        <v>1450</v>
      </c>
      <c r="B6" s="12" t="s">
        <v>1451</v>
      </c>
      <c r="C6" s="12" t="s">
        <v>1442</v>
      </c>
      <c r="D6" s="12" t="s">
        <v>1452</v>
      </c>
      <c r="E6" s="12" t="s">
        <v>1453</v>
      </c>
    </row>
    <row r="7" customFormat="false" ht="15" hidden="false" customHeight="false" outlineLevel="0" collapsed="false">
      <c r="A7" s="12" t="s">
        <v>1454</v>
      </c>
      <c r="B7" s="12" t="s">
        <v>1455</v>
      </c>
      <c r="C7" s="12" t="s">
        <v>1456</v>
      </c>
      <c r="D7" s="12" t="s">
        <v>1204</v>
      </c>
      <c r="E7" s="12" t="s">
        <v>1457</v>
      </c>
    </row>
    <row r="8" customFormat="false" ht="15" hidden="false" customHeight="false" outlineLevel="0" collapsed="false">
      <c r="A8" s="12" t="s">
        <v>1458</v>
      </c>
      <c r="B8" s="12" t="s">
        <v>1459</v>
      </c>
      <c r="C8" s="12" t="s">
        <v>1460</v>
      </c>
      <c r="D8" s="12" t="s">
        <v>1461</v>
      </c>
      <c r="E8" s="12" t="s">
        <v>1462</v>
      </c>
    </row>
    <row r="9" customFormat="false" ht="15" hidden="false" customHeight="false" outlineLevel="0" collapsed="false">
      <c r="A9" s="12" t="s">
        <v>1463</v>
      </c>
      <c r="B9" s="12" t="s">
        <v>1464</v>
      </c>
      <c r="C9" s="12" t="s">
        <v>1465</v>
      </c>
      <c r="D9" s="12" t="s">
        <v>1461</v>
      </c>
      <c r="E9" s="12" t="s">
        <v>1466</v>
      </c>
    </row>
    <row r="10" customFormat="false" ht="15" hidden="false" customHeight="false" outlineLevel="0" collapsed="false">
      <c r="A10" s="12" t="s">
        <v>1467</v>
      </c>
      <c r="B10" s="12" t="s">
        <v>1468</v>
      </c>
      <c r="C10" s="12" t="s">
        <v>1465</v>
      </c>
      <c r="D10" s="12" t="s">
        <v>1469</v>
      </c>
      <c r="E10" s="12" t="s">
        <v>1470</v>
      </c>
    </row>
    <row r="11" customFormat="false" ht="15" hidden="false" customHeight="false" outlineLevel="0" collapsed="false">
      <c r="A11" s="12" t="s">
        <v>1471</v>
      </c>
      <c r="B11" s="12" t="s">
        <v>1472</v>
      </c>
      <c r="C11" s="12" t="s">
        <v>1465</v>
      </c>
      <c r="D11" s="12" t="s">
        <v>1473</v>
      </c>
      <c r="E11" s="12" t="s">
        <v>1474</v>
      </c>
    </row>
    <row r="12" customFormat="false" ht="15" hidden="false" customHeight="false" outlineLevel="0" collapsed="false">
      <c r="A12" s="12" t="s">
        <v>1475</v>
      </c>
      <c r="B12" s="12" t="s">
        <v>1476</v>
      </c>
      <c r="C12" s="12" t="s">
        <v>1465</v>
      </c>
      <c r="D12" s="12" t="s">
        <v>1477</v>
      </c>
      <c r="E12" s="12" t="s">
        <v>1478</v>
      </c>
    </row>
    <row r="13" customFormat="false" ht="15" hidden="false" customHeight="false" outlineLevel="0" collapsed="false">
      <c r="A13" s="12" t="s">
        <v>1479</v>
      </c>
      <c r="B13" s="12" t="s">
        <v>1480</v>
      </c>
      <c r="C13" s="12" t="s">
        <v>1465</v>
      </c>
      <c r="D13" s="12" t="s">
        <v>1481</v>
      </c>
      <c r="E13" s="12" t="s">
        <v>1482</v>
      </c>
    </row>
    <row r="14" customFormat="false" ht="15" hidden="false" customHeight="false" outlineLevel="0" collapsed="false">
      <c r="A14" s="12" t="s">
        <v>1483</v>
      </c>
      <c r="B14" s="12" t="s">
        <v>1484</v>
      </c>
      <c r="C14" s="12" t="s">
        <v>1465</v>
      </c>
      <c r="D14" s="12" t="s">
        <v>1477</v>
      </c>
      <c r="E14" s="12" t="s">
        <v>1485</v>
      </c>
    </row>
    <row r="15" customFormat="false" ht="23.85" hidden="false" customHeight="false" outlineLevel="0" collapsed="false">
      <c r="A15" s="12" t="s">
        <v>1486</v>
      </c>
      <c r="B15" s="12" t="s">
        <v>1487</v>
      </c>
      <c r="C15" s="12" t="s">
        <v>1465</v>
      </c>
      <c r="D15" s="12" t="s">
        <v>1488</v>
      </c>
      <c r="E15" s="12" t="s">
        <v>1489</v>
      </c>
    </row>
    <row r="16" customFormat="false" ht="15" hidden="false" customHeight="false" outlineLevel="0" collapsed="false">
      <c r="A16" s="12" t="s">
        <v>881</v>
      </c>
      <c r="B16" s="12" t="s">
        <v>1490</v>
      </c>
      <c r="C16" s="12" t="s">
        <v>1491</v>
      </c>
      <c r="D16" s="12" t="s">
        <v>1492</v>
      </c>
      <c r="E16" s="12" t="s">
        <v>1493</v>
      </c>
    </row>
    <row r="17" customFormat="false" ht="15" hidden="false" customHeight="false" outlineLevel="0" collapsed="false">
      <c r="A17" s="12" t="s">
        <v>1494</v>
      </c>
      <c r="B17" s="12" t="s">
        <v>1495</v>
      </c>
      <c r="C17" s="12" t="s">
        <v>1465</v>
      </c>
      <c r="D17" s="12" t="s">
        <v>1496</v>
      </c>
      <c r="E17" s="12" t="s">
        <v>1497</v>
      </c>
    </row>
    <row r="18" customFormat="false" ht="23.85" hidden="false" customHeight="false" outlineLevel="0" collapsed="false">
      <c r="A18" s="12" t="s">
        <v>1498</v>
      </c>
      <c r="B18" s="12" t="s">
        <v>1499</v>
      </c>
      <c r="C18" s="12" t="s">
        <v>1500</v>
      </c>
      <c r="D18" s="12" t="s">
        <v>1501</v>
      </c>
      <c r="E18" s="12"/>
    </row>
  </sheetData>
  <autoFilter ref="A3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0" t="s">
        <v>1502</v>
      </c>
    </row>
    <row r="2" customFormat="false" ht="15" hidden="false" customHeight="false" outlineLevel="0" collapsed="false">
      <c r="A2" s="5" t="s">
        <v>1503</v>
      </c>
    </row>
    <row r="3" customFormat="false" ht="30" hidden="false" customHeight="true" outlineLevel="0" collapsed="false">
      <c r="A3" s="11" t="s">
        <v>196</v>
      </c>
      <c r="B3" s="11" t="s">
        <v>198</v>
      </c>
      <c r="C3" s="11" t="s">
        <v>197</v>
      </c>
      <c r="D3" s="11" t="s">
        <v>1504</v>
      </c>
      <c r="E3" s="11" t="s">
        <v>1505</v>
      </c>
    </row>
    <row r="4" customFormat="false" ht="15" hidden="false" customHeight="false" outlineLevel="0" collapsed="false">
      <c r="A4" s="12" t="s">
        <v>208</v>
      </c>
      <c r="B4" s="12" t="s">
        <v>210</v>
      </c>
      <c r="C4" s="12" t="s">
        <v>209</v>
      </c>
      <c r="D4" s="12" t="s">
        <v>1506</v>
      </c>
      <c r="E4" s="12" t="n">
        <v>15</v>
      </c>
    </row>
    <row r="5" customFormat="false" ht="15" hidden="false" customHeight="false" outlineLevel="0" collapsed="false">
      <c r="A5" s="12" t="s">
        <v>266</v>
      </c>
      <c r="B5" s="12" t="s">
        <v>210</v>
      </c>
      <c r="C5" s="12" t="s">
        <v>267</v>
      </c>
      <c r="D5" s="12" t="s">
        <v>1507</v>
      </c>
      <c r="E5" s="12" t="n">
        <v>1</v>
      </c>
    </row>
    <row r="6" customFormat="false" ht="15" hidden="false" customHeight="false" outlineLevel="0" collapsed="false">
      <c r="A6" s="12" t="s">
        <v>273</v>
      </c>
      <c r="B6" s="12" t="s">
        <v>210</v>
      </c>
      <c r="C6" s="12" t="s">
        <v>274</v>
      </c>
      <c r="D6" s="12" t="s">
        <v>1508</v>
      </c>
      <c r="E6" s="12" t="n">
        <v>10</v>
      </c>
    </row>
    <row r="7" customFormat="false" ht="15" hidden="false" customHeight="false" outlineLevel="0" collapsed="false">
      <c r="A7" s="12" t="s">
        <v>333</v>
      </c>
      <c r="B7" s="12" t="s">
        <v>314</v>
      </c>
      <c r="C7" s="12" t="s">
        <v>334</v>
      </c>
      <c r="D7" s="12" t="s">
        <v>1508</v>
      </c>
      <c r="E7" s="12" t="n">
        <v>9</v>
      </c>
    </row>
    <row r="8" customFormat="false" ht="15" hidden="false" customHeight="false" outlineLevel="0" collapsed="false">
      <c r="A8" s="12" t="s">
        <v>312</v>
      </c>
      <c r="B8" s="12" t="s">
        <v>314</v>
      </c>
      <c r="C8" s="12" t="s">
        <v>313</v>
      </c>
      <c r="D8" s="12" t="s">
        <v>1508</v>
      </c>
      <c r="E8" s="12" t="n">
        <v>2</v>
      </c>
    </row>
    <row r="9" customFormat="false" ht="15" hidden="false" customHeight="false" outlineLevel="0" collapsed="false">
      <c r="A9" s="12" t="s">
        <v>325</v>
      </c>
      <c r="B9" s="12" t="s">
        <v>314</v>
      </c>
      <c r="C9" s="12" t="s">
        <v>326</v>
      </c>
      <c r="D9" s="12" t="s">
        <v>1508</v>
      </c>
      <c r="E9" s="12" t="n">
        <v>8</v>
      </c>
    </row>
    <row r="10" customFormat="false" ht="15" hidden="false" customHeight="false" outlineLevel="0" collapsed="false">
      <c r="A10" s="12" t="s">
        <v>386</v>
      </c>
      <c r="B10" s="12" t="s">
        <v>314</v>
      </c>
      <c r="C10" s="12" t="s">
        <v>387</v>
      </c>
      <c r="D10" s="12" t="s">
        <v>1508</v>
      </c>
      <c r="E10" s="12" t="n">
        <v>3</v>
      </c>
    </row>
    <row r="11" customFormat="false" ht="15" hidden="false" customHeight="false" outlineLevel="0" collapsed="false">
      <c r="A11" s="12" t="s">
        <v>400</v>
      </c>
      <c r="B11" s="12" t="s">
        <v>402</v>
      </c>
      <c r="C11" s="12" t="s">
        <v>401</v>
      </c>
      <c r="D11" s="12" t="s">
        <v>1508</v>
      </c>
      <c r="E11" s="12" t="n">
        <v>17</v>
      </c>
    </row>
    <row r="12" customFormat="false" ht="15" hidden="false" customHeight="false" outlineLevel="0" collapsed="false">
      <c r="A12" s="12" t="s">
        <v>1509</v>
      </c>
      <c r="B12" s="12" t="s">
        <v>402</v>
      </c>
      <c r="C12" s="12" t="s">
        <v>1510</v>
      </c>
      <c r="D12" s="12" t="s">
        <v>1508</v>
      </c>
      <c r="E12" s="12" t="n">
        <v>0</v>
      </c>
    </row>
    <row r="13" customFormat="false" ht="15" hidden="false" customHeight="false" outlineLevel="0" collapsed="false">
      <c r="A13" s="12" t="s">
        <v>476</v>
      </c>
      <c r="B13" s="12" t="s">
        <v>402</v>
      </c>
      <c r="C13" s="12" t="s">
        <v>477</v>
      </c>
      <c r="D13" s="12" t="s">
        <v>1508</v>
      </c>
      <c r="E13" s="12" t="n">
        <v>9</v>
      </c>
    </row>
    <row r="14" customFormat="false" ht="15" hidden="false" customHeight="false" outlineLevel="0" collapsed="false">
      <c r="A14" s="12" t="s">
        <v>507</v>
      </c>
      <c r="B14" s="12" t="s">
        <v>509</v>
      </c>
      <c r="C14" s="12" t="s">
        <v>508</v>
      </c>
      <c r="D14" s="12" t="s">
        <v>1508</v>
      </c>
      <c r="E14" s="12" t="n">
        <v>3</v>
      </c>
    </row>
    <row r="15" customFormat="false" ht="15" hidden="false" customHeight="false" outlineLevel="0" collapsed="false">
      <c r="A15" s="12" t="s">
        <v>520</v>
      </c>
      <c r="B15" s="12" t="s">
        <v>509</v>
      </c>
      <c r="C15" s="12" t="s">
        <v>521</v>
      </c>
      <c r="D15" s="12" t="s">
        <v>1508</v>
      </c>
      <c r="E15" s="12" t="n">
        <v>3</v>
      </c>
    </row>
    <row r="16" customFormat="false" ht="15" hidden="false" customHeight="false" outlineLevel="0" collapsed="false">
      <c r="A16" s="12" t="s">
        <v>535</v>
      </c>
      <c r="B16" s="12" t="s">
        <v>509</v>
      </c>
      <c r="C16" s="12" t="s">
        <v>536</v>
      </c>
      <c r="D16" s="12" t="s">
        <v>1508</v>
      </c>
      <c r="E16" s="12" t="n">
        <v>15</v>
      </c>
    </row>
    <row r="17" customFormat="false" ht="15" hidden="false" customHeight="false" outlineLevel="0" collapsed="false">
      <c r="A17" s="12" t="s">
        <v>575</v>
      </c>
      <c r="B17" s="12" t="s">
        <v>509</v>
      </c>
      <c r="C17" s="12" t="s">
        <v>576</v>
      </c>
      <c r="D17" s="12" t="s">
        <v>1508</v>
      </c>
      <c r="E17" s="12" t="n">
        <v>6</v>
      </c>
    </row>
    <row r="18" customFormat="false" ht="15" hidden="false" customHeight="false" outlineLevel="0" collapsed="false">
      <c r="A18" s="12" t="s">
        <v>599</v>
      </c>
      <c r="B18" s="12" t="s">
        <v>443</v>
      </c>
      <c r="C18" s="12" t="s">
        <v>600</v>
      </c>
      <c r="D18" s="12" t="s">
        <v>1508</v>
      </c>
      <c r="E18" s="12" t="n">
        <v>2</v>
      </c>
    </row>
    <row r="19" customFormat="false" ht="15" hidden="false" customHeight="false" outlineLevel="0" collapsed="false">
      <c r="A19" s="12" t="s">
        <v>609</v>
      </c>
      <c r="B19" s="12" t="s">
        <v>443</v>
      </c>
      <c r="C19" s="12" t="s">
        <v>610</v>
      </c>
      <c r="D19" s="12" t="s">
        <v>1508</v>
      </c>
      <c r="E19" s="12" t="n">
        <v>3</v>
      </c>
    </row>
    <row r="20" customFormat="false" ht="15" hidden="false" customHeight="false" outlineLevel="0" collapsed="false">
      <c r="A20" s="12" t="s">
        <v>622</v>
      </c>
      <c r="B20" s="12" t="s">
        <v>443</v>
      </c>
      <c r="C20" s="12" t="s">
        <v>623</v>
      </c>
      <c r="D20" s="12" t="s">
        <v>1511</v>
      </c>
      <c r="E20" s="12" t="n">
        <v>25</v>
      </c>
    </row>
    <row r="21" customFormat="false" ht="15" hidden="false" customHeight="false" outlineLevel="0" collapsed="false">
      <c r="A21" s="12" t="s">
        <v>441</v>
      </c>
      <c r="B21" s="12" t="s">
        <v>443</v>
      </c>
      <c r="C21" s="12" t="s">
        <v>442</v>
      </c>
      <c r="D21" s="12" t="s">
        <v>1512</v>
      </c>
      <c r="E21" s="12" t="n">
        <v>5</v>
      </c>
    </row>
    <row r="22" customFormat="false" ht="15" hidden="false" customHeight="false" outlineLevel="0" collapsed="false">
      <c r="A22" s="12" t="s">
        <v>694</v>
      </c>
      <c r="B22" s="12" t="s">
        <v>696</v>
      </c>
      <c r="C22" s="12" t="s">
        <v>695</v>
      </c>
      <c r="D22" s="12" t="s">
        <v>1513</v>
      </c>
      <c r="E22" s="12" t="n">
        <v>9</v>
      </c>
    </row>
    <row r="23" customFormat="false" ht="15" hidden="false" customHeight="false" outlineLevel="0" collapsed="false">
      <c r="A23" s="12" t="s">
        <v>724</v>
      </c>
      <c r="B23" s="12" t="s">
        <v>696</v>
      </c>
      <c r="C23" s="12" t="s">
        <v>725</v>
      </c>
      <c r="D23" s="12" t="s">
        <v>1514</v>
      </c>
      <c r="E23" s="12" t="n">
        <v>1</v>
      </c>
    </row>
    <row r="24" customFormat="false" ht="15" hidden="false" customHeight="false" outlineLevel="0" collapsed="false">
      <c r="A24" s="12" t="s">
        <v>1515</v>
      </c>
      <c r="B24" s="12" t="s">
        <v>696</v>
      </c>
      <c r="C24" s="12" t="s">
        <v>1516</v>
      </c>
      <c r="D24" s="12" t="s">
        <v>1517</v>
      </c>
      <c r="E24" s="12" t="s">
        <v>1518</v>
      </c>
    </row>
  </sheetData>
  <autoFilter ref="A3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0" t="s">
        <v>1519</v>
      </c>
    </row>
    <row r="2" customFormat="false" ht="15" hidden="false" customHeight="false" outlineLevel="0" collapsed="false">
      <c r="A2" s="5" t="s">
        <v>1520</v>
      </c>
    </row>
    <row r="3" customFormat="false" ht="30" hidden="false" customHeight="true" outlineLevel="0" collapsed="false">
      <c r="A3" s="11" t="s">
        <v>1521</v>
      </c>
      <c r="B3" s="11" t="s">
        <v>1522</v>
      </c>
      <c r="C3" s="11" t="s">
        <v>1523</v>
      </c>
      <c r="D3" s="11" t="s">
        <v>206</v>
      </c>
    </row>
    <row r="4" customFormat="false" ht="15" hidden="false" customHeight="false" outlineLevel="0" collapsed="false">
      <c r="A4" s="12" t="s">
        <v>1143</v>
      </c>
      <c r="B4" s="12" t="s">
        <v>1524</v>
      </c>
      <c r="C4" s="12" t="n">
        <v>3526</v>
      </c>
      <c r="D4" s="15" t="s">
        <v>218</v>
      </c>
    </row>
    <row r="5" customFormat="false" ht="15" hidden="false" customHeight="false" outlineLevel="0" collapsed="false">
      <c r="A5" s="12" t="s">
        <v>1525</v>
      </c>
      <c r="B5" s="12" t="s">
        <v>1524</v>
      </c>
      <c r="C5" s="12" t="n">
        <v>5219</v>
      </c>
      <c r="D5" s="15" t="s">
        <v>218</v>
      </c>
    </row>
    <row r="6" customFormat="false" ht="15" hidden="false" customHeight="false" outlineLevel="0" collapsed="false">
      <c r="A6" s="12" t="s">
        <v>1147</v>
      </c>
      <c r="B6" s="12" t="s">
        <v>1526</v>
      </c>
      <c r="C6" s="12" t="n">
        <v>7756</v>
      </c>
      <c r="D6" s="15" t="s">
        <v>218</v>
      </c>
    </row>
    <row r="7" customFormat="false" ht="15" hidden="false" customHeight="false" outlineLevel="0" collapsed="false">
      <c r="A7" s="12" t="s">
        <v>1151</v>
      </c>
      <c r="B7" s="12" t="s">
        <v>1526</v>
      </c>
      <c r="C7" s="12" t="n">
        <v>1568</v>
      </c>
      <c r="D7" s="15" t="s">
        <v>218</v>
      </c>
    </row>
    <row r="8" customFormat="false" ht="15" hidden="false" customHeight="false" outlineLevel="0" collapsed="false">
      <c r="A8" s="12" t="s">
        <v>1527</v>
      </c>
      <c r="B8" s="12" t="s">
        <v>1528</v>
      </c>
      <c r="C8" s="12" t="n">
        <v>3494</v>
      </c>
      <c r="D8" s="15" t="s">
        <v>218</v>
      </c>
    </row>
    <row r="9" customFormat="false" ht="15" hidden="false" customHeight="false" outlineLevel="0" collapsed="false">
      <c r="A9" s="12" t="s">
        <v>1149</v>
      </c>
      <c r="B9" s="12" t="s">
        <v>1526</v>
      </c>
      <c r="C9" s="12" t="n">
        <v>5598</v>
      </c>
      <c r="D9" s="15" t="s">
        <v>218</v>
      </c>
    </row>
    <row r="10" customFormat="false" ht="15" hidden="false" customHeight="false" outlineLevel="0" collapsed="false">
      <c r="A10" s="12" t="s">
        <v>1529</v>
      </c>
      <c r="B10" s="12" t="s">
        <v>1524</v>
      </c>
      <c r="C10" s="12" t="n">
        <v>3795</v>
      </c>
      <c r="D10" s="15" t="s">
        <v>218</v>
      </c>
    </row>
    <row r="11" customFormat="false" ht="15" hidden="false" customHeight="false" outlineLevel="0" collapsed="false">
      <c r="A11" s="12" t="s">
        <v>1145</v>
      </c>
      <c r="B11" s="12" t="s">
        <v>1526</v>
      </c>
      <c r="C11" s="12" t="n">
        <v>23145</v>
      </c>
      <c r="D11" s="15" t="s">
        <v>218</v>
      </c>
    </row>
    <row r="12" customFormat="false" ht="15" hidden="false" customHeight="false" outlineLevel="0" collapsed="false">
      <c r="A12" s="12" t="s">
        <v>1530</v>
      </c>
      <c r="B12" s="12" t="s">
        <v>1524</v>
      </c>
      <c r="C12" s="12" t="n">
        <v>6272</v>
      </c>
      <c r="D12" s="15" t="s">
        <v>218</v>
      </c>
    </row>
    <row r="13" customFormat="false" ht="15" hidden="false" customHeight="false" outlineLevel="0" collapsed="false">
      <c r="A13" s="12" t="s">
        <v>1531</v>
      </c>
      <c r="B13" s="12" t="s">
        <v>1532</v>
      </c>
      <c r="C13" s="12" t="n">
        <v>1071</v>
      </c>
      <c r="D13" s="15" t="s">
        <v>218</v>
      </c>
    </row>
    <row r="14" customFormat="false" ht="15" hidden="false" customHeight="false" outlineLevel="0" collapsed="false">
      <c r="A14" s="12" t="s">
        <v>1533</v>
      </c>
      <c r="B14" s="12" t="s">
        <v>1528</v>
      </c>
      <c r="C14" s="12" t="n">
        <v>66333</v>
      </c>
      <c r="D14" s="15" t="s">
        <v>218</v>
      </c>
    </row>
    <row r="15" customFormat="false" ht="15" hidden="false" customHeight="false" outlineLevel="0" collapsed="false">
      <c r="A15" s="12" t="s">
        <v>1534</v>
      </c>
      <c r="B15" s="12" t="s">
        <v>1524</v>
      </c>
      <c r="C15" s="12" t="n">
        <v>7284</v>
      </c>
      <c r="D15" s="15" t="s">
        <v>218</v>
      </c>
    </row>
    <row r="16" customFormat="false" ht="15" hidden="false" customHeight="false" outlineLevel="0" collapsed="false">
      <c r="A16" s="12" t="s">
        <v>1535</v>
      </c>
      <c r="B16" s="12" t="s">
        <v>1526</v>
      </c>
      <c r="C16" s="12" t="n">
        <v>2622</v>
      </c>
      <c r="D16" s="15" t="s">
        <v>218</v>
      </c>
    </row>
    <row r="17" customFormat="false" ht="15" hidden="false" customHeight="false" outlineLevel="0" collapsed="false">
      <c r="A17" s="12" t="s">
        <v>1536</v>
      </c>
      <c r="B17" s="12" t="s">
        <v>1526</v>
      </c>
      <c r="C17" s="12" t="n">
        <v>1249</v>
      </c>
      <c r="D17" s="15" t="s">
        <v>218</v>
      </c>
    </row>
    <row r="18" customFormat="false" ht="15" hidden="false" customHeight="false" outlineLevel="0" collapsed="false">
      <c r="A18" s="12" t="s">
        <v>1537</v>
      </c>
      <c r="B18" s="12" t="s">
        <v>1528</v>
      </c>
      <c r="C18" s="12" t="n">
        <v>6215</v>
      </c>
      <c r="D18" s="15" t="s">
        <v>218</v>
      </c>
    </row>
    <row r="19" customFormat="false" ht="15" hidden="false" customHeight="false" outlineLevel="0" collapsed="false">
      <c r="A19" s="12" t="s">
        <v>1538</v>
      </c>
      <c r="B19" s="12" t="s">
        <v>1526</v>
      </c>
      <c r="C19" s="12" t="n">
        <v>2088</v>
      </c>
      <c r="D19" s="15" t="s">
        <v>218</v>
      </c>
    </row>
    <row r="20" customFormat="false" ht="15" hidden="false" customHeight="false" outlineLevel="0" collapsed="false">
      <c r="A20" s="12" t="s">
        <v>1539</v>
      </c>
      <c r="B20" s="12" t="s">
        <v>1532</v>
      </c>
      <c r="C20" s="12" t="n">
        <v>0</v>
      </c>
      <c r="D20" s="15" t="s">
        <v>218</v>
      </c>
    </row>
    <row r="21" customFormat="false" ht="15" hidden="false" customHeight="false" outlineLevel="0" collapsed="false">
      <c r="A21" s="12" t="s">
        <v>1540</v>
      </c>
      <c r="B21" s="12" t="s">
        <v>1532</v>
      </c>
      <c r="C21" s="12" t="n">
        <v>2225</v>
      </c>
      <c r="D21" s="15" t="s">
        <v>218</v>
      </c>
    </row>
    <row r="22" customFormat="false" ht="15" hidden="false" customHeight="false" outlineLevel="0" collapsed="false">
      <c r="A22" s="12" t="s">
        <v>1541</v>
      </c>
      <c r="B22" s="12" t="s">
        <v>1532</v>
      </c>
      <c r="C22" s="12" t="n">
        <v>6856</v>
      </c>
      <c r="D22" s="15" t="s">
        <v>218</v>
      </c>
    </row>
    <row r="23" customFormat="false" ht="15" hidden="false" customHeight="false" outlineLevel="0" collapsed="false">
      <c r="A23" s="12" t="s">
        <v>1542</v>
      </c>
      <c r="B23" s="12" t="s">
        <v>1526</v>
      </c>
      <c r="C23" s="12" t="n">
        <v>6597</v>
      </c>
      <c r="D23" s="15" t="s">
        <v>218</v>
      </c>
    </row>
  </sheetData>
  <autoFilter ref="A3:D23"/>
  <hyperlinks>
    <hyperlink ref="D4" r:id="rId1" display="open"/>
    <hyperlink ref="D5" r:id="rId2" display="open"/>
    <hyperlink ref="D6" r:id="rId3" display="open"/>
    <hyperlink ref="D7" r:id="rId4" display="open"/>
    <hyperlink ref="D8" r:id="rId5" display="open"/>
    <hyperlink ref="D9" r:id="rId6" display="open"/>
    <hyperlink ref="D10" r:id="rId7" display="open"/>
    <hyperlink ref="D11" r:id="rId8" display="open"/>
    <hyperlink ref="D12" r:id="rId9" display="open"/>
    <hyperlink ref="D13" r:id="rId10" display="open"/>
    <hyperlink ref="D14" r:id="rId11" display="open"/>
    <hyperlink ref="D15" r:id="rId12" display="open"/>
    <hyperlink ref="D16" r:id="rId13" display="open"/>
    <hyperlink ref="D17" r:id="rId14" display="open"/>
    <hyperlink ref="D18" r:id="rId15" display="open"/>
    <hyperlink ref="D19" r:id="rId16" display="open"/>
    <hyperlink ref="D20" r:id="rId17" display="open"/>
    <hyperlink ref="D21" r:id="rId18" display="open"/>
    <hyperlink ref="D22" r:id="rId19" display="open"/>
    <hyperlink ref="D23" r:id="rId2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2026-10-08T17:13:55Z</dcterms:created>
  <dc:creator>openpyxl</dc:creator>
  <dc:description/>
  <dc:language>en-US</dc:language>
  <cp:lastModifiedBy/>
  <dcterms:modified xsi:type="dcterms:W3CDTF">2026-10-08T17:13:55Z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